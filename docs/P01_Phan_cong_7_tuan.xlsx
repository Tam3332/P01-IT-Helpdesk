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2.vml" ContentType="application/vnd.openxmlformats-officedocument.vmlDrawing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ổng quan" sheetId="1" state="visible" r:id="rId3"/>
    <sheet name="Phân công chi tiết" sheetId="2" state="visible" r:id="rId4"/>
    <sheet name="Tài liệu bàn giao" sheetId="3" state="visible" r:id="rId5"/>
    <sheet name="Ma trận tuần" sheetId="4" state="visible" r:id="rId6"/>
    <sheet name="Sprint Tracker (08)" sheetId="5" state="visible" r:id="rId7"/>
    <sheet name="RACI (08)" sheetId="6" state="visible" r:id="rId8"/>
    <sheet name="Traceability" sheetId="7" state="visible" r:id="rId9"/>
    <sheet name="Contribution (08)" sheetId="8" state="visible" r:id="rId10"/>
    <sheet name="Risk log (08)" sheetId="9" state="visible" r:id="rId11"/>
    <sheet name="Tiến độ" sheetId="10" state="visible" r:id="rId12"/>
  </sheets>
  <definedNames>
    <definedName function="false" hidden="true" localSheetId="1" name="_xlnm._FilterDatabase" vbProcedure="false">'Phân công chi tiết'!$A$1:$R$50</definedName>
    <definedName function="false" hidden="true" localSheetId="2" name="_xlnm._FilterDatabase" vbProcedure="false">'Tài liệu bàn giao'!$A$1:$K$71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Arial"/>
            <family val="2"/>
          </rPr>
          <t xml:space="preserve">Giả định: tuần 1 bắt đầu thứ Hai 19/10/2026 (tài liệu phát hành 18/10/2026). Sửa ô này, toàn bộ ngày ở các sheet tự cập nhật.</t>
        </r>
      </text>
    </comment>
    <comment ref="C8" authorId="0">
      <text>
        <r>
          <rPr>
            <sz val="10"/>
            <rFont val="Arial"/>
            <family val="2"/>
          </rPr>
          <t xml:space="preserve">Draft / Reviewed / Approved – theo header template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O1" authorId="0">
      <text>
        <r>
          <rPr>
            <sz val="10"/>
            <rFont val="Arial"/>
            <family val="2"/>
          </rPr>
          <t xml:space="preserve">Chỉ chọn Done khi đã điền Evidence (template 00 §03). Done + Evidence trống → ô tô đỏ.</t>
        </r>
      </text>
    </comment>
  </commentList>
</comments>
</file>

<file path=xl/sharedStrings.xml><?xml version="1.0" encoding="utf-8"?>
<sst xmlns="http://schemas.openxmlformats.org/spreadsheetml/2006/main" count="1889" uniqueCount="833">
  <si>
    <t xml:space="preserve">PHÂN CÔNG CÔNG VIỆC NHÓM – P01 (theo bộ template 00–09)</t>
  </si>
  <si>
    <t xml:space="preserve">Mã dự án</t>
  </si>
  <si>
    <t xml:space="preserve">P01 — IT Helpdesk + Security Monitoring</t>
  </si>
  <si>
    <t xml:space="preserve">Tên dự án</t>
  </si>
  <si>
    <t xml:space="preserve">IT Helpdesk &amp; Service Request Management System × Secure Helpdesk Platform with Access Control and Security Monitoring</t>
  </si>
  <si>
    <t xml:space="preserve">Ngày bắt đầu tuần 1</t>
  </si>
  <si>
    <t xml:space="preserve">Giảng viên hướng dẫn</t>
  </si>
  <si>
    <t xml:space="preserve">[Họ tên]</t>
  </si>
  <si>
    <t xml:space="preserve">Phiên bản / ngày</t>
  </si>
  <si>
    <t xml:space="preserve">v1.0 / 20-10-2026</t>
  </si>
  <si>
    <t xml:space="preserve">Trạng thái</t>
  </si>
  <si>
    <t xml:space="preserve">Draft</t>
  </si>
  <si>
    <t xml:space="preserve">STT</t>
  </si>
  <si>
    <t xml:space="preserve">MSSV</t>
  </si>
  <si>
    <t xml:space="preserve">Họ tên</t>
  </si>
  <si>
    <t xml:space="preserve">Ngành</t>
  </si>
  <si>
    <t xml:space="preserve">Làm nhánh</t>
  </si>
  <si>
    <t xml:space="preserve">Vai trò chính</t>
  </si>
  <si>
    <t xml:space="preserve">Phụ trách (template § / FR / SR)</t>
  </si>
  <si>
    <t xml:space="preserve">SE192700</t>
  </si>
  <si>
    <t xml:space="preserve">Nguyễn Trọng Khiêm</t>
  </si>
  <si>
    <t xml:space="preserve">IA</t>
  </si>
  <si>
    <t xml:space="preserve">Trưởng nhóm &amp; IA Lead</t>
  </si>
  <si>
    <t xml:space="preserve">Chủ trì 02 SecRS (§1–3, §6, §8–9), 07 Final Report, 08 PM &amp; Contribution, 09 Presentation; Defect Log 04 §4; IA-HD06</t>
  </si>
  <si>
    <t xml:space="preserve">SE193903</t>
  </si>
  <si>
    <t xml:space="preserve">Nguyễn Tăng Minh Khánh</t>
  </si>
  <si>
    <t xml:space="preserve">IA – Access Control &amp; AuthZ Testing</t>
  </si>
  <si>
    <t xml:space="preserve">IA-HD01, IA-HD02; 02 §5 Access Matrix; SEC-TC-HD-01/05/06/07; 04 §6 Evidence Index; SEC-DEMO-01</t>
  </si>
  <si>
    <t xml:space="preserve">SE193707</t>
  </si>
  <si>
    <t xml:space="preserve">Huỳnh Minh Hoà</t>
  </si>
  <si>
    <t xml:space="preserve">IA – Logging &amp; Security Monitoring</t>
  </si>
  <si>
    <t xml:space="preserve">IA-HD04, IA-HD05; 03 §7 Audit/Monitoring Design; SEC-TC-HD-02/04; 05 §6 Logs &amp; monitoring; SEC-DEMO-02</t>
  </si>
  <si>
    <t xml:space="preserve">SE182824</t>
  </si>
  <si>
    <t xml:space="preserve">Vũ Hồng Nhi</t>
  </si>
  <si>
    <t xml:space="preserve">IA – Hardening, Upload &amp; Deployment Security</t>
  </si>
  <si>
    <t xml:space="preserve">IA-HD03, IA-HD07; 02 §7 Tools &amp; hardening; 03 §8 Deployment &amp; Trust Boundaries; 05 §3, §5, §8; SEC-TC-HD-03/08; SEC-DEMO-03</t>
  </si>
  <si>
    <t xml:space="preserve">SE192434</t>
  </si>
  <si>
    <t xml:space="preserve">Phạm Nguyễn Minh Trí</t>
  </si>
  <si>
    <t xml:space="preserve">SE</t>
  </si>
  <si>
    <t xml:space="preserve">SE Lead / BA + Backend 2 (Business logic)</t>
  </si>
  <si>
    <t xml:space="preserve">Chủ trì 01 SRS (§1–4, §9), 03 §1–2, §9 ADR, 04 §2/§5 (functional), 06 §3; HD02, HD06, HD07, HD09–HD12</t>
  </si>
  <si>
    <t xml:space="preserve">SE200624</t>
  </si>
  <si>
    <t xml:space="preserve">Lê Phú Cường</t>
  </si>
  <si>
    <t xml:space="preserve">AI</t>
  </si>
  <si>
    <t xml:space="preserve">Backend 1 (DB, Auth, CRUD API)</t>
  </si>
  <si>
    <t xml:space="preserve">01 §5–7 (BR, Use Case, Data); 03 §3–4, §6; 05 §7; HD01, HD03, HD04, HD05, HD08, HD13, HD15</t>
  </si>
  <si>
    <t xml:space="preserve">SE196524</t>
  </si>
  <si>
    <t xml:space="preserve">Nguyễn Nhật Chính</t>
  </si>
  <si>
    <t xml:space="preserve">IS</t>
  </si>
  <si>
    <t xml:space="preserve">Frontend (ReactJS) + Deployment</t>
  </si>
  <si>
    <t xml:space="preserve">01 §8 NFR; 03 §5 Screen flow &amp; Wireframes; 05 §1, §2, §4; 06 §1–2; UI + HD14 Dashboard; Docker Compose</t>
  </si>
  <si>
    <t xml:space="preserve">Mã định danh (template 00 §02)</t>
  </si>
  <si>
    <t xml:space="preserve">Loại</t>
  </si>
  <si>
    <t xml:space="preserve">Ví dụ</t>
  </si>
  <si>
    <t xml:space="preserve">Ý nghĩa</t>
  </si>
  <si>
    <t xml:space="preserve">FR</t>
  </si>
  <si>
    <t xml:space="preserve">HD05</t>
  </si>
  <si>
    <t xml:space="preserve">Chức năng phần mềm</t>
  </si>
  <si>
    <t xml:space="preserve">SR</t>
  </si>
  <si>
    <t xml:space="preserve">IA-HD02</t>
  </si>
  <si>
    <t xml:space="preserve">Yêu cầu bảo mật</t>
  </si>
  <si>
    <t xml:space="preserve">BR</t>
  </si>
  <si>
    <t xml:space="preserve">BR-HD-01</t>
  </si>
  <si>
    <t xml:space="preserve">Quy tắc nghiệp vụ</t>
  </si>
  <si>
    <t xml:space="preserve">TC</t>
  </si>
  <si>
    <t xml:space="preserve">TC-HD-01</t>
  </si>
  <si>
    <t xml:space="preserve">Kiểm thử nghiệp vụ</t>
  </si>
  <si>
    <t xml:space="preserve">ST</t>
  </si>
  <si>
    <t xml:space="preserve">SEC-TC-HD-01</t>
  </si>
  <si>
    <t xml:space="preserve">Kiểm thử bảo mật (SEC-TC-HD-01 = SEC-TC-101, SEC-TC-HD-02 = SEC-TC-102 trong đề)</t>
  </si>
  <si>
    <t xml:space="preserve">EV</t>
  </si>
  <si>
    <t xml:space="preserve">EV-HD-01</t>
  </si>
  <si>
    <t xml:space="preserve">Bằng chứng: ảnh, log, video</t>
  </si>
  <si>
    <t xml:space="preserve">Quy tắc áp dụng cho sheet (template 00 §03):</t>
  </si>
  <si>
    <t xml:space="preserve">• Việc chỉ được chọn 'Done' khi đã có Evidence (EV-ID hoặc link). Chọn Done mà ô Evidence trống, ô Trạng thái sẽ tô đỏ.</t>
  </si>
  <si>
    <t xml:space="preserve">• Mọi FR mức Must có: người phụ trách, acceptance criteria, trạng thái và ít nhất 1 test case (xem sheet Traceability).</t>
  </si>
  <si>
    <t xml:space="preserve">• Không đưa mật khẩu/token thật vào báo cáo, evidence hoặc repository. Log làm bằng chứng phải được che thông tin nhạy cảm.</t>
  </si>
  <si>
    <t xml:space="preserve">• Mọi thay đổi sau Review 1 (cuối tuần 2) phải tăng phiên bản tài liệu và ghi vào 08 §5.</t>
  </si>
  <si>
    <t xml:space="preserve">• 4 bạn ngành IA làm nhánh IA; bạn ngành SE cùng 2 bạn ngành AI và IS làm nhánh SE.</t>
  </si>
  <si>
    <t xml:space="preserve">Chú thích: nền xanh lá = IA · nền xanh dương = SE · ô vàng = ô cần nhập/cập nhật.</t>
  </si>
  <si>
    <t xml:space="preserve">Nguồn: Fall2026_OJT_SE_IA.docx; Fall2026_OJT_5_Mini_Projects_Software_Requirements.docx; templates 00–09.</t>
  </si>
  <si>
    <t xml:space="preserve">Task ID</t>
  </si>
  <si>
    <t xml:space="preserve">Tuần</t>
  </si>
  <si>
    <t xml:space="preserve">Từ ngày</t>
  </si>
  <si>
    <t xml:space="preserve">Đến ngày</t>
  </si>
  <si>
    <t xml:space="preserve">Mốc tuần (kế hoạch + nộp tài liệu)</t>
  </si>
  <si>
    <t xml:space="preserve">Nhánh</t>
  </si>
  <si>
    <t xml:space="preserve">Công việc</t>
  </si>
  <si>
    <t xml:space="preserve">Chi tiết công việc</t>
  </si>
  <si>
    <t xml:space="preserve">Đầu ra</t>
  </si>
  <si>
    <t xml:space="preserve">Tài liệu / mục template</t>
  </si>
  <si>
    <t xml:space="preserve">Liên kết FR / BR / SR / TC</t>
  </si>
  <si>
    <t xml:space="preserve">Evidence (EV-ID / link)</t>
  </si>
  <si>
    <t xml:space="preserve">Commit / PR</t>
  </si>
  <si>
    <t xml:space="preserve">Ghi chú</t>
  </si>
  <si>
    <t xml:space="preserve">T1-01</t>
  </si>
  <si>
    <t xml:space="preserve">Duyệt rủi ro &amp; requirement; SRS Lite + BPMN + backlog</t>
  </si>
  <si>
    <t xml:space="preserve">Kickoff + Threat Model v1</t>
  </si>
  <si>
    <t xml:space="preserve">Tạo repo theo cấu trúc docs/, evidence/, diagrams/, src/; board backlog; điền header (Mã P01, tên, thành viên, GV, version) cho 10 template. Viết Scope &amp; Assets (C/I/A), Data classification, DFD có trust boundaries + bảng STRIDE TH-01…; mở file 08 tuần 1.</t>
  </si>
  <si>
    <t xml:space="preserve">Repo + board; SecRS §1–3 draft; 08 tuần 1</t>
  </si>
  <si>
    <t xml:space="preserve">00 §04; 02 §1, §2, §3; 08 §2</t>
  </si>
  <si>
    <t xml:space="preserve">IA-HD01–HD07</t>
  </si>
  <si>
    <t xml:space="preserve">To do</t>
  </si>
  <si>
    <t xml:space="preserve">T1-02</t>
  </si>
  <si>
    <t xml:space="preserve">SR IA-HD01/02 + abuse cases</t>
  </si>
  <si>
    <t xml:space="preserve">Viết dòng IA-HD01, IA-HD02 trong bảng Security Requirements (control, FR liên kết, acceptance criteria, validation method). Liệt kê abuse cases đổi ticket ID; góp ý cột 'Giới hạn' trong bảng Actors của SRS.</t>
  </si>
  <si>
    <t xml:space="preserve">02 §4 (HD01–02); abuse cases</t>
  </si>
  <si>
    <t xml:space="preserve">02 §4; 01 §2 (review)</t>
  </si>
  <si>
    <t xml:space="preserve">IA-HD01, IA-HD02 ↔ HD01, HD05</t>
  </si>
  <si>
    <t xml:space="preserve">T1-03</t>
  </si>
  <si>
    <t xml:space="preserve">SR IA-HD04/05 + chọn công cụ log</t>
  </si>
  <si>
    <t xml:space="preserve">Viết dòng IA-HD04 (event bắt buộc: login, lỗi phân quyền, đổi quyền, assignment), IA-HD05 (ngưỡng login sai, truy cập ticket trái phép). Khảo sát Wazuh vs logs + Python rules theo RAM VM.</t>
  </si>
  <si>
    <t xml:space="preserve">02 §4 (HD04–05); đề xuất tool monitoring</t>
  </si>
  <si>
    <t xml:space="preserve">02 §4, §7 (draft)</t>
  </si>
  <si>
    <t xml:space="preserve">IA-HD04, IA-HD05 ↔ HD09</t>
  </si>
  <si>
    <t xml:space="preserve">T1-04</t>
  </si>
  <si>
    <t xml:space="preserve">SR IA-HD03/07 + dựng lab</t>
  </si>
  <si>
    <t xml:space="preserve">Viết dòng IA-HD03 (loại file, dung lượng, kiểm soát download) và IA-HD07 (TLS, headers, secrets, service permissions). Dựng lab: VM, Docker, mạng nội bộ; nháp bảng Security tools.</t>
  </si>
  <si>
    <t xml:space="preserve">02 §4 (HD03, HD07); sơ đồ lab</t>
  </si>
  <si>
    <t xml:space="preserve">IA-HD03, IA-HD07 ↔ HD04</t>
  </si>
  <si>
    <t xml:space="preserve">T1-05</t>
  </si>
  <si>
    <t xml:space="preserve">SRS: tổng quan, actor, BPMN, FR</t>
  </si>
  <si>
    <t xml:space="preserve">Viết SRS §1 (problem, 3 KPI, in/out scope MVP HD01–HD14, giả định phụ thuộc IA), §2 Actors &amp; Permissions (Employee/IT Staff/IT Manager/Admin), §3 BPMN Level 0 + Level 1 cho P1 tiếp nhận–xử lý, P2 SLA, P3 mở lại; §4 FR HD01–HD15 có Given/When/Then và Owner. Chốt stack backend.</t>
  </si>
  <si>
    <t xml:space="preserve">SRS §1–4 draft; BPMN; backlog</t>
  </si>
  <si>
    <t xml:space="preserve">01 §1, §2, §3, §4</t>
  </si>
  <si>
    <t xml:space="preserve">HD01–HD15</t>
  </si>
  <si>
    <t xml:space="preserve">T1-06</t>
  </si>
  <si>
    <t xml:space="preserve">SRS: Business Rules + Use Case</t>
  </si>
  <si>
    <t xml:space="preserve">Viết SRS §5 Business Rules BR-HD-01…05 (Resolved cần giải pháp; chỉ owner/Manager đóng-mở lại; SLA theo ưu tiên; Closed không sửa trực tiếp; 1 người phụ trách chính). §6 Use Case Specification UC-01…05 (Đăng nhập, Tạo ticket, Đính kèm, Xem ticket, Trao đổi).</t>
  </si>
  <si>
    <t xml:space="preserve">SRS §5, §6 (phần 1)</t>
  </si>
  <si>
    <t xml:space="preserve">01 §5, §6</t>
  </si>
  <si>
    <t xml:space="preserve">BR-HD-01…05; HD01, HD03–HD05, HD08</t>
  </si>
  <si>
    <t xml:space="preserve">T1-07</t>
  </si>
  <si>
    <t xml:space="preserve">NFR + screen flow + FE skeleton</t>
  </si>
  <si>
    <t xml:space="preserve">Viết SRS §8 NFR (NFR01–08: auth, toàn vẹn dữ liệu, usability, phân trang &lt;2s, audit, maintainability, testability, Docker). Nháp screen flow theo 4 role; khởi tạo ReactJS + Vite + Ant Design/MUI.</t>
  </si>
  <si>
    <t xml:space="preserve">SRS §8; screen flow draft; FE skeleton</t>
  </si>
  <si>
    <t xml:space="preserve">01 §8; 03 §5 (draft)</t>
  </si>
  <si>
    <t xml:space="preserve">NFR01–NFR08</t>
  </si>
  <si>
    <t xml:space="preserve">T2-01</t>
  </si>
  <si>
    <t xml:space="preserve">Review 1; NỘP 01 SRS, 02 SecRS, 03 SDD; scope baseline có GV xác nhận</t>
  </si>
  <si>
    <t xml:space="preserve">Nộp SRS/SecRS/SDD + Review 1</t>
  </si>
  <si>
    <t xml:space="preserve">Viết SecRS §6 Security Testing Plan (SEC-TC-HD-01…08 → TH/SR → EV) và §8 Risk Register. Lập bảng Component/API ↔ Controls ↔ SR/NFR trong SDD §8. Gộp &amp; nộp 01/02/03 v1.0, dẫn Review 1, ghi scope baseline vào 08 §5.</t>
  </si>
  <si>
    <t xml:space="preserve">SecRS v1.0; SDD mapping table; biên bản Review 1</t>
  </si>
  <si>
    <t xml:space="preserve">02 §6, §8; 03 §8 (bảng mapping); 08 §5</t>
  </si>
  <si>
    <t xml:space="preserve">SEC-TC-HD-01…08</t>
  </si>
  <si>
    <t xml:space="preserve">T2-02</t>
  </si>
  <si>
    <t xml:space="preserve">Role &amp; Object-Level Access Matrix</t>
  </si>
  <si>
    <t xml:space="preserve">Lập ma trận endpoint × Employee/IT Staff/IT Manager/Admin (Own only / Assigned only / All / As policy) cho tickets, comments, attachments, users, reports. Cùng Cường viết SDD §6 phần RBAC + object check.</t>
  </si>
  <si>
    <t xml:space="preserve">Access Matrix v1</t>
  </si>
  <si>
    <t xml:space="preserve">02 §5; 03 §6 (đồng viết)</t>
  </si>
  <si>
    <t xml:space="preserve">IA-HD01, IA-HD02 ↔ HD01, HD05, HD06, HD10</t>
  </si>
  <si>
    <t xml:space="preserve">T2-03</t>
  </si>
  <si>
    <t xml:space="preserve">Audit / Monitoring Design</t>
  </si>
  <si>
    <t xml:space="preserve">Viết SDD §7: danh mục sự kiện, trường actor/timestamp/target/outcome/IP, không log secret/token; luồng app/syslog → Wazuh (hoặc file + Python rules). Hoàn thiện mục monitoring trong SecRS §7.</t>
  </si>
  <si>
    <t xml:space="preserve">SDD §7; Audit Log Policy</t>
  </si>
  <si>
    <t xml:space="preserve">03 §7; 02 §7</t>
  </si>
  <si>
    <t xml:space="preserve">IA-HD04 ↔ HD09, NFR05</t>
  </si>
  <si>
    <t xml:space="preserve">T2-04</t>
  </si>
  <si>
    <t xml:space="preserve">Deployment &amp; Trust Boundaries</t>
  </si>
  <si>
    <t xml:space="preserve">Viết SDD §8: containers, ports, TLS termination tại reverse proxy, DB chỉ nội bộ, backup. Hoàn thiện SecRS §7 (ZAP, Gitleaks, Trivy, Nginx/WAF – scope chỉ máy lab). Cài Gitleaks pre-commit / GitHub Action.</t>
  </si>
  <si>
    <t xml:space="preserve">SDD §8; SecRS §7; Gitleaks config</t>
  </si>
  <si>
    <t xml:space="preserve">03 §8; 02 §7</t>
  </si>
  <si>
    <t xml:space="preserve">IA-HD07</t>
  </si>
  <si>
    <t xml:space="preserve">T2-05</t>
  </si>
  <si>
    <t xml:space="preserve">SRS v1.0 + kiến trúc + ADR</t>
  </si>
  <si>
    <t xml:space="preserve">Hoàn thiện SRS §6 (UC-06…: Phân công, Cập nhật trạng thái, Đóng/Mở lại, SLA) và §9 Traceability (FR ↔ BR ↔ SR ↔ TC). SDD §1 Architecture Overview, §2 Component Diagram, §9 ADR (stack backend, JWT, Docker…).</t>
  </si>
  <si>
    <t xml:space="preserve">SRS v1.0; SDD §1, §2, §9</t>
  </si>
  <si>
    <t xml:space="preserve">01 §6, §9; 03 §1, §2, §9</t>
  </si>
  <si>
    <t xml:space="preserve">HD06, HD07, HD10–HD12</t>
  </si>
  <si>
    <t xml:space="preserve">T2-06</t>
  </si>
  <si>
    <t xml:space="preserve">Data model, ERD, API, Auth design</t>
  </si>
  <si>
    <t xml:space="preserve">SRS §7 Data requirements (User, Role, Ticket, TicketCategory, TicketAssignment, TicketComment, Attachment, SLAConfig, TicketHistory). SDD §3 ERD (PK/FK, unique, transaction), §4 API Design (OpenAPI, mã lỗi 401/403/404), §6 JWT lifecycle.</t>
  </si>
  <si>
    <t xml:space="preserve">SRS §7; ERD; API spec</t>
  </si>
  <si>
    <t xml:space="preserve">01 §7; 03 §3, §4, §6</t>
  </si>
  <si>
    <t xml:space="preserve">HD01–HD05, HD08; NFR02</t>
  </si>
  <si>
    <t xml:space="preserve">T2-07</t>
  </si>
  <si>
    <t xml:space="preserve">Screen flow, wireframe, Docker</t>
  </si>
  <si>
    <t xml:space="preserve">SDD §5: Screen IDs, flows, wireframe các màn hình (login, ticket list/detail, tạo ticket, phân công, dashboard, admin) và validation. Viết docker-compose (FE, BE, PostgreSQL).</t>
  </si>
  <si>
    <t xml:space="preserve">SDD §5; docker-compose.yml</t>
  </si>
  <si>
    <t xml:space="preserve">03 §5</t>
  </si>
  <si>
    <t xml:space="preserve">HD14; NFR03, NFR08</t>
  </si>
  <si>
    <t xml:space="preserve">T3-01</t>
  </si>
  <si>
    <t xml:space="preserve">Demo authentication &amp; access checks; demo core modules</t>
  </si>
  <si>
    <t xml:space="preserve">Test strategy + Defect Log</t>
  </si>
  <si>
    <t xml:space="preserve">Cùng Trí viết 04 §1 (build, URL lab, test users theo role, dữ liệu mẫu, tool, quy định chỉ test lab). Chuyển SEC-TC-HD-01…08 vào 04 §3; dựng 04 §4 Defect Log (BUG-xx). Điều phối demo auth &amp; access checks; cập nhật 08.</t>
  </si>
  <si>
    <t xml:space="preserve">04 §1, §3 khung, §4 khung</t>
  </si>
  <si>
    <t xml:space="preserve">04 §1, §3, §4; 08 §2</t>
  </si>
  <si>
    <t xml:space="preserve">IA-HD06</t>
  </si>
  <si>
    <t xml:space="preserve">T3-02</t>
  </si>
  <si>
    <t xml:space="preserve">SEC-TC IDOR + leo thang quyền</t>
  </si>
  <si>
    <t xml:space="preserve">Chạy SEC-TC-HD-01 (Employee A đọc/sửa ticket B bằng đổi ID → 403/404 + audit) và SEC-TC-HD-05 (Employee gọi API của Manager/Admin) bằng Burp/ZAP; lưu EV, ghi BUG.</t>
  </si>
  <si>
    <t xml:space="preserve">Kết quả SEC-TC-HD-01, 05; EV; BUG</t>
  </si>
  <si>
    <t xml:space="preserve">04 §3, §4</t>
  </si>
  <si>
    <t xml:space="preserve">IA-HD01, IA-HD02 ↔ HD05 (SEC-TC-101)</t>
  </si>
  <si>
    <t xml:space="preserve">T3-03</t>
  </si>
  <si>
    <t xml:space="preserve">SEC-TC brute-force + dựng monitoring</t>
  </si>
  <si>
    <t xml:space="preserve">Chạy lần đầu SEC-TC-HD-02 (đăng nhập sai nhiều lần), kiểm tra hết hạn token/logout. Dựng Wazuh hoặc log collector trên VM lab, nhận log từ backend.</t>
  </si>
  <si>
    <t xml:space="preserve">Kết quả SEC-TC-HD-02 (v1); môi trường monitoring</t>
  </si>
  <si>
    <t xml:space="preserve">04 §3</t>
  </si>
  <si>
    <t xml:space="preserve">IA-HD05 ↔ HD01 (SEC-TC-102)</t>
  </si>
  <si>
    <t xml:space="preserve">T3-04</t>
  </si>
  <si>
    <t xml:space="preserve">Secrets &amp; container scanning</t>
  </si>
  <si>
    <t xml:space="preserve">Gitleaks toàn lịch sử repo, Trivy cho Docker image; kiểm tra JWT secret, DB password, CORS, .env.example không chứa secret thật. Ghi một phần SEC-TC-HD-08 + BUG.</t>
  </si>
  <si>
    <t xml:space="preserve">Scan report; EV; BUG</t>
  </si>
  <si>
    <t xml:space="preserve">T3-05</t>
  </si>
  <si>
    <t xml:space="preserve">Danh mục + SLAConfig + test env</t>
  </si>
  <si>
    <t xml:space="preserve">Hiện thực HD02 (loại yêu cầu, ưu tiên, trạng thái), SLAConfig; khung state machine. Cùng Khiêm viết 04 §1; tạo test users/seed theo role. Viết TC-HD-02. Review PR.</t>
  </si>
  <si>
    <t xml:space="preserve">API danh mục; seed users; TC-HD-02</t>
  </si>
  <si>
    <t xml:space="preserve">04 §1, §2</t>
  </si>
  <si>
    <t xml:space="preserve">HD02, HD11</t>
  </si>
  <si>
    <t xml:space="preserve">T3-06</t>
  </si>
  <si>
    <t xml:space="preserve">Auth + RBAC + Ticket CRUD</t>
  </si>
  <si>
    <t xml:space="preserve">HD01 login JWT + bcrypt + middleware RBAC theo Access Matrix; HD03 tạo ticket; HD05 danh sách/chi tiết có owner check + phân trang. Viết TC-HD-01, TC-HD-03, TC-HD-05.</t>
  </si>
  <si>
    <t xml:space="preserve">Auth module; Ticket API; TC-HD-01/03/05</t>
  </si>
  <si>
    <t xml:space="preserve">04 §2</t>
  </si>
  <si>
    <t xml:space="preserve">HD01, HD03, HD05; NFR01, NFR04</t>
  </si>
  <si>
    <t xml:space="preserve">T3-07</t>
  </si>
  <si>
    <t xml:space="preserve">FE: Login + Ticket</t>
  </si>
  <si>
    <t xml:space="preserve">Màn hình login, lưu/gắn token, route guard theo role; tạo ticket, danh sách &amp; chi tiết ticket, tích hợp API; validation &amp; thông báo lỗi.</t>
  </si>
  <si>
    <t xml:space="preserve">FE login + ticket screens</t>
  </si>
  <si>
    <t xml:space="preserve">—</t>
  </si>
  <si>
    <t xml:space="preserve">HD01, HD03, HD05; NFR03</t>
  </si>
  <si>
    <t xml:space="preserve">T4-01</t>
  </si>
  <si>
    <t xml:space="preserve">Review bảo mật nghiệp vụ; demo E2E lõi; bắt đầu 04 Test</t>
  </si>
  <si>
    <t xml:space="preserve">Threat Model v2 + review nghiệp vụ</t>
  </si>
  <si>
    <t xml:space="preserve">Rà abuse cases workflow (tự phân công, đóng/mở lại trái quyền, sửa ticket Closed); cập nhật STRIDE TH-xx và Risk Register (version mới sau Review 1). Chủ trì review bảo mật nghiệp vụ; cập nhật 08.</t>
  </si>
  <si>
    <t xml:space="preserve">SecRS §3, §8 v1.1</t>
  </si>
  <si>
    <t xml:space="preserve">02 §3, §8; 08 §2, §4</t>
  </si>
  <si>
    <t xml:space="preserve">HD06, HD07, HD10 ↔ IA-HD01/02</t>
  </si>
  <si>
    <t xml:space="preserve">T4-02</t>
  </si>
  <si>
    <t xml:space="preserve">SEC-TC workflow bypass</t>
  </si>
  <si>
    <t xml:space="preserve">Chạy SEC-TC-HD-06: nhảy trạng thái bỏ bước, Resolved khi chưa có giải pháp, sửa ticket Closed, assign trái quyền, mass assignment (role/status/owner). Ghi BUG cho Trí/Cường.</t>
  </si>
  <si>
    <t xml:space="preserve">Kết quả SEC-TC-HD-06; EV; BUG</t>
  </si>
  <si>
    <t xml:space="preserve">IA-HD01, IA-HD02 ↔ HD06, HD07, HD10; BR-HD-01/02/04</t>
  </si>
  <si>
    <t xml:space="preserve">T4-03</t>
  </si>
  <si>
    <t xml:space="preserve">SEC-TC audit log + detection rules</t>
  </si>
  <si>
    <t xml:space="preserve">Chạy SEC-TC-HD-04: xác minh backend ghi đúng event (login, 403, đổi quyền, assignment, đổi trạng thái) theo SDD §7. Viết rule phát hiện login sai liên tiếp &amp; truy cập ticket trái phép.</t>
  </si>
  <si>
    <t xml:space="preserve">Kết quả SEC-TC-HD-04; detection rules v1</t>
  </si>
  <si>
    <t xml:space="preserve">T4-04</t>
  </si>
  <si>
    <t xml:space="preserve">SEC-TC upload</t>
  </si>
  <si>
    <t xml:space="preserve">Chạy SEC-TC-HD-03: giả mạo extension/MIME, file quá dung lượng, path traversal tên file, tải file của ticket khác.</t>
  </si>
  <si>
    <t xml:space="preserve">Kết quả SEC-TC-HD-03; EV; BUG</t>
  </si>
  <si>
    <t xml:space="preserve">IA-HD03 ↔ HD04</t>
  </si>
  <si>
    <t xml:space="preserve">T4-05</t>
  </si>
  <si>
    <t xml:space="preserve">Workflow chính + business rules</t>
  </si>
  <si>
    <t xml:space="preserve">HD06 phân công (1 người phụ trách chính), HD07 trạng thái theo state machine, HD09 TicketHistory, HD10 đóng/mở lại có lý do; BR-HD-01/02/04/05 ở backend + unit test. Viết TC-HD-06, 07, 09, 10 (gồm ca vi phạm BR).</t>
  </si>
  <si>
    <t xml:space="preserve">Workflow module; TC-HD-06/07/09/10</t>
  </si>
  <si>
    <t xml:space="preserve">HD06, HD07, HD09, HD10; BR-HD-01/02/04/05</t>
  </si>
  <si>
    <t xml:space="preserve">T4-06</t>
  </si>
  <si>
    <t xml:space="preserve">Upload + comment + audit events</t>
  </si>
  <si>
    <t xml:space="preserve">HD04 upload (giới hạn loại/dung lượng, lưu ngoài webroot, download kiểm quyền); HD08 bình luận; phát sinh structured audit events theo SDD §7; sửa BUG tuần 3. Viết TC-HD-04, TC-HD-08.</t>
  </si>
  <si>
    <t xml:space="preserve">Attachment &amp; Comment API; TC-HD-04/08</t>
  </si>
  <si>
    <t xml:space="preserve">04 §2, §4</t>
  </si>
  <si>
    <t xml:space="preserve">HD04, HD08 ↔ IA-HD03, IA-HD04</t>
  </si>
  <si>
    <t xml:space="preserve">T4-07</t>
  </si>
  <si>
    <t xml:space="preserve">FE: Workflow UI</t>
  </si>
  <si>
    <t xml:space="preserve">Màn hình Manager phân công, IT Staff cập nhật giải pháp, Employee xác nhận/mở lại, upload, bình luận, timeline lịch sử. Chụp màn hình làm EV cho TC chức năng.</t>
  </si>
  <si>
    <t xml:space="preserve">FE workflow screens; EV</t>
  </si>
  <si>
    <t xml:space="preserve">04 §6 (EV)</t>
  </si>
  <si>
    <t xml:space="preserve">HD04, HD06–HD10</t>
  </si>
  <si>
    <t xml:space="preserve">T5-01</t>
  </si>
  <si>
    <t xml:space="preserve">Integrated security demo; Review 2: MVP; CẬP NHẬT 03 SDD</t>
  </si>
  <si>
    <t xml:space="preserve">Integrated security demo + SDD v2</t>
  </si>
  <si>
    <t xml:space="preserve">Kịch bản &amp; dẫn integrated security demo; hoàn thiện traceability FR ↔ BR ↔ SR ↔ TC ↔ EV (SRS §9); cập nhật bảng mapping SDD §8 v2; theo dõi đóng BUG; cập nhật 08 + Review 2.</t>
  </si>
  <si>
    <t xml:space="preserve">Demo script; SRS §9 v1.1; SDD v2</t>
  </si>
  <si>
    <t xml:space="preserve">01 §9; 03 §8; 08 §2, §5</t>
  </si>
  <si>
    <t xml:space="preserve">Toàn bộ IA-HD</t>
  </si>
  <si>
    <t xml:space="preserve">T5-02</t>
  </si>
  <si>
    <t xml:space="preserve">Rate limit + SEC-TC input + retest</t>
  </si>
  <si>
    <t xml:space="preserve">Cấu hình rate limit login/API (cùng Nhi, Cường). Chạy SEC-TC-HD-07 (XSS ở bình luận, SQLi ở tìm kiếm). Retest BUG AuthZ/logic tuần 3–4.</t>
  </si>
  <si>
    <t xml:space="preserve">Rate-limit config; SEC-TC-HD-07; retest</t>
  </si>
  <si>
    <t xml:space="preserve">IA-HD05, IA-HD06 ↔ HD08, HD13</t>
  </si>
  <si>
    <t xml:space="preserve">T5-03</t>
  </si>
  <si>
    <t xml:space="preserve">Alerting + SDD §7 v2</t>
  </si>
  <si>
    <t xml:space="preserve">Hoàn thiện cảnh báo brute-force &amp; truy cập ticket trái phép; dashboard giám sát; chạy lại SEC-TC-HD-02 đầy đủ (giới hạn + cảnh báo); cập nhật SDD §7.</t>
  </si>
  <si>
    <t xml:space="preserve">Alert EV; SEC-TC-HD-02 PASS; SDD §7 v2</t>
  </si>
  <si>
    <t xml:space="preserve">03 §7; 04 §3</t>
  </si>
  <si>
    <t xml:space="preserve">IA-HD04, IA-HD05</t>
  </si>
  <si>
    <t xml:space="preserve">T5-04</t>
  </si>
  <si>
    <t xml:space="preserve">Reverse proxy + TLS + WAF</t>
  </si>
  <si>
    <t xml:space="preserve">Nginx reverse proxy + TLS, security headers (HSTS, CSP, X-Frame-Options, X-Content-Type-Options); ModSecurity/Coraza nếu đủ tài nguyên; UFW. Chạy SEC-TC-HD-08; cập nhật SDD §8.</t>
  </si>
  <si>
    <t xml:space="preserve">Hardening config; SEC-TC-HD-08; SDD §8 v2</t>
  </si>
  <si>
    <t xml:space="preserve">03 §8; 04 §3</t>
  </si>
  <si>
    <t xml:space="preserve">T5-05</t>
  </si>
  <si>
    <t xml:space="preserve">SLA + reporting API + Review 2</t>
  </si>
  <si>
    <t xml:space="preserve">HD11 tính hạn theo ưu tiên (giờ liên tục, BR-HD-03), HD12 cảnh báo gần hạn/quá hạn, API thống kê cho HD14. Viết TC-HD-11, 12. Cập nhật SDD §1–2; trình bày Review 2: MVP.</t>
  </si>
  <si>
    <t xml:space="preserve">SLA module; TC-HD-11/12; SDD §1–2 v2</t>
  </si>
  <si>
    <t xml:space="preserve">03 §1, §2; 04 §2</t>
  </si>
  <si>
    <t xml:space="preserve">HD11, HD12, HD14; BR-HD-03</t>
  </si>
  <si>
    <t xml:space="preserve">T5-06</t>
  </si>
  <si>
    <t xml:space="preserve">Search + lockout + rating</t>
  </si>
  <si>
    <t xml:space="preserve">HD13 tìm kiếm/lọc (query tham số hóa), khóa tạm tài khoản sau N lần sai, HD15 đánh giá hài lòng (Should); sửa BUG upload. Viết TC-HD-13, 15; cập nhật SDD §4 API.</t>
  </si>
  <si>
    <t xml:space="preserve">Search/rating API; lockout; TC-HD-13/15</t>
  </si>
  <si>
    <t xml:space="preserve">03 §4; 04 §2</t>
  </si>
  <si>
    <t xml:space="preserve">HD13, HD15 ↔ IA-HD05, IA-HD06</t>
  </si>
  <si>
    <t xml:space="preserve">T5-07</t>
  </si>
  <si>
    <t xml:space="preserve">Dashboard + Admin + deploy lab</t>
  </si>
  <si>
    <t xml:space="preserve">HD14 Dashboard (mới, đang xử lý, quá hạn, hoàn tất), badge SLA, trang Admin user/role; deploy Docker lên lab sau reverse proxy của Nhi. Viết TC-HD-14; cập nhật SDD §5.</t>
  </si>
  <si>
    <t xml:space="preserve">Dashboard/Admin UI; bản deploy lab; TC-HD-14</t>
  </si>
  <si>
    <t xml:space="preserve">03 §5; 04 §2</t>
  </si>
  <si>
    <t xml:space="preserve">HD12, HD14; NFR08</t>
  </si>
  <si>
    <t xml:space="preserve">T6-01</t>
  </si>
  <si>
    <t xml:space="preserve">Before/after report; HOÀN TẤT 04 Test; NỘP 05 Deployment</t>
  </si>
  <si>
    <t xml:space="preserve">Before/After + Test summary (security)</t>
  </si>
  <si>
    <t xml:space="preserve">Viết Before/After Vulnerability Report; đóng Defect Log (BUG → fix commit → retest); 04 §5 phần security cases total/pass/fail, open high-severity, remaining risks; nháp SecRS §9 sign-off.</t>
  </si>
  <si>
    <t xml:space="preserve">Before/After report; 04 §4–5; 02 §9 draft</t>
  </si>
  <si>
    <t xml:space="preserve">04 §4, §5; 02 §9</t>
  </si>
  <si>
    <t xml:space="preserve">T6-02</t>
  </si>
  <si>
    <t xml:space="preserve">ZAP scan + Evidence Index</t>
  </si>
  <si>
    <t xml:space="preserve">OWASP ZAP authenticated scan sau hardening; retest SEC-TC-HD-01/05/06/07; hoàn thiện Access Matrix final; lập 04 §6 Evidence Index (EV-ID, file evidence/…, test liên quan, mô tả – log đã che thông tin nhạy cảm).</t>
  </si>
  <si>
    <t xml:space="preserve">ZAP report after; 04 §6</t>
  </si>
  <si>
    <t xml:space="preserve">04 §3, §6; 02 §5</t>
  </si>
  <si>
    <t xml:space="preserve">IA-HD01, IA-HD02, IA-HD06</t>
  </si>
  <si>
    <t xml:space="preserve">T6-03</t>
  </si>
  <si>
    <t xml:space="preserve">Retest + Logs &amp; monitoring guide</t>
  </si>
  <si>
    <t xml:space="preserve">Retest SEC-TC-HD-02/04; xuất Security Logs làm EV; viết 05 §6 (vị trí log, sự kiện theo dõi, cách kiểm tra cảnh báo).</t>
  </si>
  <si>
    <t xml:space="preserve">Security Logs EV; 05 §6</t>
  </si>
  <si>
    <t xml:space="preserve">04 §3; 05 §6</t>
  </si>
  <si>
    <t xml:space="preserve">T6-04</t>
  </si>
  <si>
    <t xml:space="preserve">Deployment guide (security) + backup</t>
  </si>
  <si>
    <t xml:space="preserve">Retest SEC-TC-HD-03/08 (sslscan/testssl, headers, rescan Gitleaks/Trivy). Viết 05 §3 Network &amp; Security, §5 Backup &amp; restore (chạy restore test thật), §8 Limitations &amp; handover + bảng Check/Expected/Result/Evidence.</t>
  </si>
  <si>
    <t xml:space="preserve">05 §3, §5, §8 + checklist; restore EV</t>
  </si>
  <si>
    <t xml:space="preserve">04 §3; 05 §3, §5, §8</t>
  </si>
  <si>
    <t xml:space="preserve">IA-HD03, IA-HD07</t>
  </si>
  <si>
    <t xml:space="preserve">T6-05</t>
  </si>
  <si>
    <t xml:space="preserve">Regression + Test summary (functional)</t>
  </si>
  <si>
    <t xml:space="preserve">Regression toàn workflow (gồm ca vi phạm business rule); hoàn tất 04 §2 (Actual, Pass/Fail, EV) và 04 §5 phần functional total/pass/fail.</t>
  </si>
  <si>
    <t xml:space="preserve">04 §2 hoàn tất; 04 §5</t>
  </si>
  <si>
    <t xml:space="preserve">04 §2, §5</t>
  </si>
  <si>
    <t xml:space="preserve">HD01–HD14; NFR07</t>
  </si>
  <si>
    <t xml:space="preserve">T6-06</t>
  </si>
  <si>
    <t xml:space="preserve">Unit/Integration test + Troubleshooting</t>
  </si>
  <si>
    <t xml:space="preserve">Unit/integration test (xUnit/JUnit + Postman) cho auth, RBAC, ticket, upload; đo API &lt;2s; sửa BUG còn mở. Viết 05 §7 Troubleshooting.</t>
  </si>
  <si>
    <t xml:space="preserve">Test results; fix commits; 05 §7</t>
  </si>
  <si>
    <t xml:space="preserve">04 §2, §4; 05 §7</t>
  </si>
  <si>
    <t xml:space="preserve">NFR04, NFR07</t>
  </si>
  <si>
    <t xml:space="preserve">T6-07</t>
  </si>
  <si>
    <t xml:space="preserve">E2E + cài đặt, start/stop</t>
  </si>
  <si>
    <t xml:space="preserve">E2E/UI test, sửa bug FE; chốt bản deploy tái lập + seed demo. Viết 05 §1 Prerequisites, §2 Installation/configuration (.env.example, migration, seed), §4 Start/stop &amp; health check.</t>
  </si>
  <si>
    <t xml:space="preserve">E2E results; 05 §1, §2, §4</t>
  </si>
  <si>
    <t xml:space="preserve">05 §1, §2, §4</t>
  </si>
  <si>
    <t xml:space="preserve">NFR03, NFR08</t>
  </si>
  <si>
    <t xml:space="preserve">T7-01</t>
  </si>
  <si>
    <t xml:space="preserve">Final Review; NỘP 06 User Guide, 07 Final Report, 09 Presentation</t>
  </si>
  <si>
    <t xml:space="preserve">Final Report + slide + 08 final</t>
  </si>
  <si>
    <t xml:space="preserve">07 §1 Executive summary, §5 Security results, §7 Work distribution (dẫn commit/PR/task), §9 Handover approval + bảng Acceptance. SecRS §9 sign-off. Ghép slide 09 (slide 6, 11, 12); chốt 08.</t>
  </si>
  <si>
    <t xml:space="preserve">07 (phần chủ trì); 02 §9; slide; 08 final</t>
  </si>
  <si>
    <t xml:space="preserve">07 §1, §5, §7, §9; 02 §9; 09 slide 6, 11, 12; 08 §3, §5</t>
  </si>
  <si>
    <t xml:space="preserve">T7-02</t>
  </si>
  <si>
    <t xml:space="preserve">Security acceptance: SEC-TC-HD-01</t>
  </si>
  <si>
    <t xml:space="preserve">Demo SEC-TC-HD-01 (Employee A truy cập ticket B → 403/404 + audit). Viết 06 §4 SEC-DEMO-01; slide 9 (phần IDOR); phần Access Control trong 07 §5.</t>
  </si>
  <si>
    <t xml:space="preserve">06 SEC-DEMO-01; slide 9</t>
  </si>
  <si>
    <t xml:space="preserve">06 §4; 07 §5; 09 slide 9</t>
  </si>
  <si>
    <t xml:space="preserve">IA-HD01, IA-HD02</t>
  </si>
  <si>
    <t xml:space="preserve">T7-03</t>
  </si>
  <si>
    <t xml:space="preserve">Security acceptance: SEC-TC-HD-02</t>
  </si>
  <si>
    <t xml:space="preserve">Demo SEC-TC-HD-02 (login sai nhiều lần → giới hạn + cảnh báo) với log/alert trực tiếp. Viết 06 §4 SEC-DEMO-02; slide 7 (log/monitoring); phần Monitoring trong 07 §5.</t>
  </si>
  <si>
    <t xml:space="preserve">06 SEC-DEMO-02; slide 7</t>
  </si>
  <si>
    <t xml:space="preserve">06 §4; 07 §5; 09 slide 7</t>
  </si>
  <si>
    <t xml:space="preserve">T7-04</t>
  </si>
  <si>
    <t xml:space="preserve">Remediation evidence + slide 10</t>
  </si>
  <si>
    <t xml:space="preserve">Hoàn thiện Remediation evidence (upload, hardening); 06 §4 SEC-DEMO-03 (file không hợp lệ bị chặn); slide 10 Test results (phần security) &amp; slide 7 (WAF/TLS); phần hardening trong 07 §5.</t>
  </si>
  <si>
    <t xml:space="preserve">06 SEC-DEMO-03; slide 7, 10</t>
  </si>
  <si>
    <t xml:space="preserve">06 §4; 07 §5; 09 slide 7, 10</t>
  </si>
  <si>
    <t xml:space="preserve">T7-05</t>
  </si>
  <si>
    <t xml:space="preserve">User Guide workflow + Final demo</t>
  </si>
  <si>
    <t xml:space="preserve">06 §3 DEMO-01 (báo sự cố → phân công → xử lý → xác nhận), DEMO-02 (cảnh báo SLA), DEMO-03 (mở lại ticket). 07 §2 coverage, §4 workflow demo, §6 testing &amp; quality. Slide 1–4, dẫn slide 8 live demo. SRS → Approved.</t>
  </si>
  <si>
    <t xml:space="preserve">06 §3; 07 §2, §4, §6; slide 1–4, 8</t>
  </si>
  <si>
    <t xml:space="preserve">06 §3; 07 §2, §4, §6; 09 slide 1–4, 8; 01 sign-off</t>
  </si>
  <si>
    <t xml:space="preserve">HD01–HD14</t>
  </si>
  <si>
    <t xml:space="preserve">T7-06</t>
  </si>
  <si>
    <t xml:space="preserve">User Guide (Manager/Admin) + kiến trúc</t>
  </si>
  <si>
    <t xml:space="preserve">06 §2 hướng dẫn IT Manager &amp; Admin, §5 FAQ/Known limitations; 07 §3 Architecture &amp; implementation; slide 5 Architecture &amp; ERD; API docs/README.</t>
  </si>
  <si>
    <t xml:space="preserve">06 §2 (phần), §5; 07 §3; slide 5</t>
  </si>
  <si>
    <t xml:space="preserve">06 §2, §5; 07 §3; 09 slide 5</t>
  </si>
  <si>
    <t xml:space="preserve">NFR06</t>
  </si>
  <si>
    <t xml:space="preserve">T7-07</t>
  </si>
  <si>
    <t xml:space="preserve">User Guide (Employee/IT Staff) + video</t>
  </si>
  <si>
    <t xml:space="preserve">06 §1 Getting started (URL demo, tài khoản demo không nhạy cảm), §2 hướng dẫn Employee &amp; IT Staff có ảnh; 07 §8 Known issues &amp; next steps; slide 10 (phần functional); quay video demo dự phòng.</t>
  </si>
  <si>
    <t xml:space="preserve">06 §1, §2 (phần); 07 §8; video</t>
  </si>
  <si>
    <t xml:space="preserve">06 §1, §2; 07 §8; 09 slide 10</t>
  </si>
  <si>
    <t xml:space="preserve">NFR08</t>
  </si>
  <si>
    <t xml:space="preserve">Mã</t>
  </si>
  <si>
    <t xml:space="preserve">Tài liệu (template)</t>
  </si>
  <si>
    <t xml:space="preserve">Chủ trì theo template</t>
  </si>
  <si>
    <t xml:space="preserve">Mục / phần</t>
  </si>
  <si>
    <t xml:space="preserve">Người viết chính</t>
  </si>
  <si>
    <t xml:space="preserve">Hỗ trợ / review</t>
  </si>
  <si>
    <t xml:space="preserve">Hạn (tuần)</t>
  </si>
  <si>
    <t xml:space="preserve">Hạn (ngày)</t>
  </si>
  <si>
    <t xml:space="preserve">Phiên bản</t>
  </si>
  <si>
    <t xml:space="preserve">Link file</t>
  </si>
  <si>
    <t xml:space="preserve">00</t>
  </si>
  <si>
    <t xml:space="preserve">Hướng dẫn &amp; Checklist</t>
  </si>
  <si>
    <t xml:space="preserve">Trưởng nhóm</t>
  </si>
  <si>
    <t xml:space="preserve">§04 Cấu trúc thư mục repo</t>
  </si>
  <si>
    <t xml:space="preserve">Khiêm</t>
  </si>
  <si>
    <t xml:space="preserve">v1.0</t>
  </si>
  <si>
    <t xml:space="preserve">01</t>
  </si>
  <si>
    <t xml:space="preserve">SRS – Yêu cầu phần mềm</t>
  </si>
  <si>
    <t xml:space="preserve">SE + IA review</t>
  </si>
  <si>
    <t xml:space="preserve">§1 Tổng quan (problem, KPI, scope)</t>
  </si>
  <si>
    <t xml:space="preserve">Minh Trí</t>
  </si>
  <si>
    <t xml:space="preserve">§2 Stakeholders, Actors &amp; Permissions</t>
  </si>
  <si>
    <t xml:space="preserve">Minh Khánh</t>
  </si>
  <si>
    <t xml:space="preserve">§3 Quy trình nghiệp vụ (BPMN L0, L1)</t>
  </si>
  <si>
    <t xml:space="preserve">§4 Functional Requirements HD01–HD15</t>
  </si>
  <si>
    <t xml:space="preserve">Phú Cường, Nhật Chính</t>
  </si>
  <si>
    <t xml:space="preserve">§5 Business Rules BR-HD-01…05</t>
  </si>
  <si>
    <t xml:space="preserve">Phú Cường</t>
  </si>
  <si>
    <t xml:space="preserve">§6 Use Case Specification</t>
  </si>
  <si>
    <t xml:space="preserve">Phú Cường, Minh Trí</t>
  </si>
  <si>
    <t xml:space="preserve">§7 Data requirements</t>
  </si>
  <si>
    <t xml:space="preserve">§8 Non-functional Requirements</t>
  </si>
  <si>
    <t xml:space="preserve">Nhật Chính</t>
  </si>
  <si>
    <t xml:space="preserve">Hồng Nhi</t>
  </si>
  <si>
    <t xml:space="preserve">§9 Traceability &amp; Sign-off</t>
  </si>
  <si>
    <t xml:space="preserve">02</t>
  </si>
  <si>
    <t xml:space="preserve">SecRS &amp; Threat Model</t>
  </si>
  <si>
    <t xml:space="preserve">IA + SE review</t>
  </si>
  <si>
    <t xml:space="preserve">§1 Scope &amp; Assets</t>
  </si>
  <si>
    <t xml:space="preserve">§2 Data classification</t>
  </si>
  <si>
    <t xml:space="preserve">Minh Hoà</t>
  </si>
  <si>
    <t xml:space="preserve">§3 Threat Model / STRIDE + DFD</t>
  </si>
  <si>
    <t xml:space="preserve">Minh Khánh, Minh Hoà, Hồng Nhi</t>
  </si>
  <si>
    <t xml:space="preserve">§4 Security Requirements IA-HD01–07</t>
  </si>
  <si>
    <t xml:space="preserve">§5 Role &amp; Object-Level Access Matrix</t>
  </si>
  <si>
    <t xml:space="preserve">§6 Security Testing Plan</t>
  </si>
  <si>
    <t xml:space="preserve">§7 Security tools &amp; hardening</t>
  </si>
  <si>
    <t xml:space="preserve">§8 Risk Register &amp; Exceptions</t>
  </si>
  <si>
    <t xml:space="preserve">§9 Security sign-off</t>
  </si>
  <si>
    <t xml:space="preserve">03</t>
  </si>
  <si>
    <t xml:space="preserve">SDD – Thiết kế hệ thống &amp; bảo mật</t>
  </si>
  <si>
    <t xml:space="preserve">SE + IA</t>
  </si>
  <si>
    <t xml:space="preserve">§1 Architecture Overview</t>
  </si>
  <si>
    <t xml:space="preserve">§2 Component Diagram</t>
  </si>
  <si>
    <t xml:space="preserve">§3 Data Model &amp; ERD</t>
  </si>
  <si>
    <t xml:space="preserve">§4 API Design</t>
  </si>
  <si>
    <t xml:space="preserve">§5 Screen Flow &amp; Wireframes</t>
  </si>
  <si>
    <t xml:space="preserve">§6 Authentication &amp; Authorization</t>
  </si>
  <si>
    <t xml:space="preserve">Phú Cường, Minh Khánh</t>
  </si>
  <si>
    <t xml:space="preserve">§7 Audit / Monitoring Design</t>
  </si>
  <si>
    <t xml:space="preserve">§8 Deployment &amp; Trust Boundaries + bảng mapping</t>
  </si>
  <si>
    <t xml:space="preserve">Hồng Nhi, Khiêm</t>
  </si>
  <si>
    <t xml:space="preserve">§9 Architecture decisions (ADR)</t>
  </si>
  <si>
    <t xml:space="preserve">Cập nhật SDD v2 (các mục thay đổi)</t>
  </si>
  <si>
    <t xml:space="preserve">Minh Trí, Khiêm</t>
  </si>
  <si>
    <t xml:space="preserve">Phú Cường, Nhật Chính, Minh Hoà, Hồng Nhi</t>
  </si>
  <si>
    <t xml:space="preserve">04</t>
  </si>
  <si>
    <t xml:space="preserve">Test Plan + Cases + Evidence</t>
  </si>
  <si>
    <t xml:space="preserve">§1 Test strategy &amp; environment</t>
  </si>
  <si>
    <t xml:space="preserve">§2 Functional Test Cases TC-HD-xx</t>
  </si>
  <si>
    <t xml:space="preserve">§3 Security Test Cases SEC-TC-HD-xx</t>
  </si>
  <si>
    <t xml:space="preserve">§4 Defect Log</t>
  </si>
  <si>
    <t xml:space="preserve">Minh Trí, Phú Cường</t>
  </si>
  <si>
    <t xml:space="preserve">§5 Test summary</t>
  </si>
  <si>
    <t xml:space="preserve">§6 Evidence Index</t>
  </si>
  <si>
    <t xml:space="preserve">05</t>
  </si>
  <si>
    <t xml:space="preserve">Deployment &amp; Operations Guide</t>
  </si>
  <si>
    <t xml:space="preserve">§1 Prerequisites</t>
  </si>
  <si>
    <t xml:space="preserve">§2 Installation / configuration</t>
  </si>
  <si>
    <t xml:space="preserve">§3 Network &amp; Security</t>
  </si>
  <si>
    <t xml:space="preserve">§4 Start/stop &amp; health check</t>
  </si>
  <si>
    <t xml:space="preserve">§5 Backup &amp; restore</t>
  </si>
  <si>
    <t xml:space="preserve">§6 Logs and monitoring</t>
  </si>
  <si>
    <t xml:space="preserve">§7 Troubleshooting</t>
  </si>
  <si>
    <t xml:space="preserve">§8 Limitations &amp; handover + bảng Check</t>
  </si>
  <si>
    <t xml:space="preserve">06</t>
  </si>
  <si>
    <t xml:space="preserve">User Guide &amp; Demo Scenarios</t>
  </si>
  <si>
    <t xml:space="preserve">§1 Getting started</t>
  </si>
  <si>
    <t xml:space="preserve">§2 Hướng dẫn theo vai trò</t>
  </si>
  <si>
    <t xml:space="preserve">Nhật Chính, Phú Cường</t>
  </si>
  <si>
    <t xml:space="preserve">§3 Main business workflows DEMO-01…03</t>
  </si>
  <si>
    <t xml:space="preserve">§4 Security demo SEC-DEMO-01…03</t>
  </si>
  <si>
    <t xml:space="preserve">§5 FAQ / Known limitations</t>
  </si>
  <si>
    <t xml:space="preserve">07</t>
  </si>
  <si>
    <t xml:space="preserve">Final Report &amp; Handover</t>
  </si>
  <si>
    <t xml:space="preserve">§1 Executive summary</t>
  </si>
  <si>
    <t xml:space="preserve">§2 Scope and requirements coverage</t>
  </si>
  <si>
    <t xml:space="preserve">§3 Architecture &amp; implementation</t>
  </si>
  <si>
    <t xml:space="preserve">§4 Business workflows demo</t>
  </si>
  <si>
    <t xml:space="preserve">§5 Security results</t>
  </si>
  <si>
    <t xml:space="preserve">§6 Testing &amp; quality</t>
  </si>
  <si>
    <t xml:space="preserve">§7 Work distribution and reflection</t>
  </si>
  <si>
    <t xml:space="preserve">Minh Khánh, Minh Hoà, Hồng Nhi, Minh Trí, Phú Cường, Nhật Chính</t>
  </si>
  <si>
    <t xml:space="preserve">§8 Known issues &amp; next steps</t>
  </si>
  <si>
    <t xml:space="preserve">§9 Handover approval + bảng Acceptance</t>
  </si>
  <si>
    <t xml:space="preserve">08</t>
  </si>
  <si>
    <t xml:space="preserve">Project Management &amp; Contribution</t>
  </si>
  <si>
    <t xml:space="preserve">Trưởng nhóm + toàn nhóm</t>
  </si>
  <si>
    <t xml:space="preserve">§1 Team RACI</t>
  </si>
  <si>
    <t xml:space="preserve">§2 Weekly Sprint Tracker (hàng tuần)</t>
  </si>
  <si>
    <t xml:space="preserve">§3 Individual Contribution Evidence</t>
  </si>
  <si>
    <t xml:space="preserve">§4 Risk &amp; issue log</t>
  </si>
  <si>
    <t xml:space="preserve">§5 Review sign-off (Review 1 / 2 / Final)</t>
  </si>
  <si>
    <t xml:space="preserve">09</t>
  </si>
  <si>
    <t xml:space="preserve">Final Presentation Outline</t>
  </si>
  <si>
    <t xml:space="preserve">Slide 1–4: Problem, Scope, BPMN, FR</t>
  </si>
  <si>
    <t xml:space="preserve">Slide 5: Architecture &amp; ERD</t>
  </si>
  <si>
    <t xml:space="preserve">Slide 6: Threat model</t>
  </si>
  <si>
    <t xml:space="preserve">Slide 7: Security controls</t>
  </si>
  <si>
    <t xml:space="preserve">Minh Hoà, Hồng Nhi</t>
  </si>
  <si>
    <t xml:space="preserve">Slide 8: End-to-end workflow demo (live)</t>
  </si>
  <si>
    <t xml:space="preserve">Slide 9: Security acceptance demo</t>
  </si>
  <si>
    <t xml:space="preserve">Slide 10: Test results</t>
  </si>
  <si>
    <t xml:space="preserve">Hồng Nhi, Nhật Chính</t>
  </si>
  <si>
    <t xml:space="preserve">Slide 11–12: Contributions, Conclusions &amp; Q&amp;A</t>
  </si>
  <si>
    <t xml:space="preserve">Mốc nộp theo template 00: 01, 02, 03 cuối tuần 2 (03 cập nhật tuần 5) · 04 tuần 4–6 · 05 tuần 6 · 06, 07, 09 tuần 7 · 08 cập nhật hàng tuần. Lưu file theo docs/01_SRS.docx … docs/09_Presentation.pptx.</t>
  </si>
  <si>
    <t xml:space="preserve">Mốc tuần</t>
  </si>
  <si>
    <t xml:space="preserve">Nguyễn Trọng Khiêm
(IA → IA)</t>
  </si>
  <si>
    <t xml:space="preserve">Nguyễn Tăng Minh Khánh
(IA → IA)</t>
  </si>
  <si>
    <t xml:space="preserve">Huỳnh Minh Hoà
(IA → IA)</t>
  </si>
  <si>
    <t xml:space="preserve">Vũ Hồng Nhi
(IA → IA)</t>
  </si>
  <si>
    <t xml:space="preserve">Phạm Nguyễn Minh Trí
(SE → SE)</t>
  </si>
  <si>
    <t xml:space="preserve">Lê Phú Cường
(AI → SE)</t>
  </si>
  <si>
    <t xml:space="preserve">Nguyễn Nhật Chính
(IS → SE)</t>
  </si>
  <si>
    <t xml:space="preserve">Kickoff + Threat Model v1
→ Repo + board; SecRS §1–3 draft; 08 tuần 1
[00 §04; 02 §1, §2, §3; 08 §2]</t>
  </si>
  <si>
    <t xml:space="preserve">SR IA-HD01/02 + abuse cases
→ 02 §4 (HD01–02); abuse cases
[02 §4; 01 §2 (review)]</t>
  </si>
  <si>
    <t xml:space="preserve">SR IA-HD04/05 + chọn công cụ log
→ 02 §4 (HD04–05); đề xuất tool monitoring
[02 §4, §7 (draft)]</t>
  </si>
  <si>
    <t xml:space="preserve">SR IA-HD03/07 + dựng lab
→ 02 §4 (HD03, HD07); sơ đồ lab
[02 §4, §7 (draft)]</t>
  </si>
  <si>
    <t xml:space="preserve">SRS: tổng quan, actor, BPMN, FR
→ SRS §1–4 draft; BPMN; backlog
[01 §1, §2, §3, §4]</t>
  </si>
  <si>
    <t xml:space="preserve">SRS: Business Rules + Use Case
→ SRS §5, §6 (phần 1)
[01 §5, §6]</t>
  </si>
  <si>
    <t xml:space="preserve">NFR + screen flow + FE skeleton
→ SRS §8; screen flow draft; FE skeleton
[01 §8; 03 §5 (draft)]</t>
  </si>
  <si>
    <t xml:space="preserve">Nộp SRS/SecRS/SDD + Review 1
→ SecRS v1.0; SDD mapping table; biên bản Review 1
[02 §6, §8; 03 §8 (bảng mapping); 08 §5]</t>
  </si>
  <si>
    <t xml:space="preserve">Role &amp; Object-Level Access Matrix
→ Access Matrix v1
[02 §5; 03 §6 (đồng viết)]</t>
  </si>
  <si>
    <t xml:space="preserve">Audit / Monitoring Design
→ SDD §7; Audit Log Policy
[03 §7; 02 §7]</t>
  </si>
  <si>
    <t xml:space="preserve">Deployment &amp; Trust Boundaries
→ SDD §8; SecRS §7; Gitleaks config
[03 §8; 02 §7]</t>
  </si>
  <si>
    <t xml:space="preserve">SRS v1.0 + kiến trúc + ADR
→ SRS v1.0; SDD §1, §2, §9
[01 §6, §9; 03 §1, §2, §9]</t>
  </si>
  <si>
    <t xml:space="preserve">Data model, ERD, API, Auth design
→ SRS §7; ERD; API spec
[01 §7; 03 §3, §4, §6]</t>
  </si>
  <si>
    <t xml:space="preserve">Screen flow, wireframe, Docker
→ SDD §5; docker-compose.yml
[03 §5]</t>
  </si>
  <si>
    <t xml:space="preserve">Test strategy + Defect Log
→ 04 §1, §3 khung, §4 khung
[04 §1, §3, §4; 08 §2]</t>
  </si>
  <si>
    <t xml:space="preserve">SEC-TC IDOR + leo thang quyền
→ Kết quả SEC-TC-HD-01, 05; EV; BUG
[04 §3, §4]</t>
  </si>
  <si>
    <t xml:space="preserve">SEC-TC brute-force + dựng monitoring
→ Kết quả SEC-TC-HD-02 (v1); môi trường monitoring
[04 §3]</t>
  </si>
  <si>
    <t xml:space="preserve">Secrets &amp; container scanning
→ Scan report; EV; BUG
[04 §3, §4]</t>
  </si>
  <si>
    <t xml:space="preserve">Danh mục + SLAConfig + test env
→ API danh mục; seed users; TC-HD-02
[04 §1, §2]</t>
  </si>
  <si>
    <t xml:space="preserve">Auth + RBAC + Ticket CRUD
→ Auth module; Ticket API; TC-HD-01/03/05
[04 §2]</t>
  </si>
  <si>
    <t xml:space="preserve">FE: Login + Ticket
→ FE login + ticket screens
[—]</t>
  </si>
  <si>
    <t xml:space="preserve">Threat Model v2 + review nghiệp vụ
→ SecRS §3, §8 v1.1
[02 §3, §8; 08 §2, §4]</t>
  </si>
  <si>
    <t xml:space="preserve">SEC-TC workflow bypass
→ Kết quả SEC-TC-HD-06; EV; BUG
[04 §3, §4]</t>
  </si>
  <si>
    <t xml:space="preserve">SEC-TC audit log + detection rules
→ Kết quả SEC-TC-HD-04; detection rules v1
[04 §3]</t>
  </si>
  <si>
    <t xml:space="preserve">SEC-TC upload
→ Kết quả SEC-TC-HD-03; EV; BUG
[04 §3, §4]</t>
  </si>
  <si>
    <t xml:space="preserve">Workflow chính + business rules
→ Workflow module; TC-HD-06/07/09/10
[04 §2]</t>
  </si>
  <si>
    <t xml:space="preserve">Upload + comment + audit events
→ Attachment &amp; Comment API; TC-HD-04/08
[04 §2, §4]</t>
  </si>
  <si>
    <t xml:space="preserve">FE: Workflow UI
→ FE workflow screens; EV
[04 §6 (EV)]</t>
  </si>
  <si>
    <t xml:space="preserve">Integrated security demo + SDD v2
→ Demo script; SRS §9 v1.1; SDD v2
[01 §9; 03 §8; 08 §2, §5]</t>
  </si>
  <si>
    <t xml:space="preserve">Rate limit + SEC-TC input + retest
→ Rate-limit config; SEC-TC-HD-07; retest
[04 §3, §4]</t>
  </si>
  <si>
    <t xml:space="preserve">Alerting + SDD §7 v2
→ Alert EV; SEC-TC-HD-02 PASS; SDD §7 v2
[03 §7; 04 §3]</t>
  </si>
  <si>
    <t xml:space="preserve">Reverse proxy + TLS + WAF
→ Hardening config; SEC-TC-HD-08; SDD §8 v2
[03 §8; 04 §3]</t>
  </si>
  <si>
    <t xml:space="preserve">SLA + reporting API + Review 2
→ SLA module; TC-HD-11/12; SDD §1–2 v2
[03 §1, §2; 04 §2]</t>
  </si>
  <si>
    <t xml:space="preserve">Search + lockout + rating
→ Search/rating API; lockout; TC-HD-13/15
[03 §4; 04 §2]</t>
  </si>
  <si>
    <t xml:space="preserve">Dashboard + Admin + deploy lab
→ Dashboard/Admin UI; bản deploy lab; TC-HD-14
[03 §5; 04 §2]</t>
  </si>
  <si>
    <t xml:space="preserve">Before/After + Test summary (security)
→ Before/After report; 04 §4–5; 02 §9 draft
[04 §4, §5; 02 §9]</t>
  </si>
  <si>
    <t xml:space="preserve">ZAP scan + Evidence Index
→ ZAP report after; 04 §6
[04 §3, §6; 02 §5]</t>
  </si>
  <si>
    <t xml:space="preserve">Retest + Logs &amp; monitoring guide
→ Security Logs EV; 05 §6
[04 §3; 05 §6]</t>
  </si>
  <si>
    <t xml:space="preserve">Deployment guide (security) + backup
→ 05 §3, §5, §8 + checklist; restore EV
[04 §3; 05 §3, §5, §8]</t>
  </si>
  <si>
    <t xml:space="preserve">Regression + Test summary (functional)
→ 04 §2 hoàn tất; 04 §5
[04 §2, §5]</t>
  </si>
  <si>
    <t xml:space="preserve">Unit/Integration test + Troubleshooting
→ Test results; fix commits; 05 §7
[04 §2, §4; 05 §7]</t>
  </si>
  <si>
    <t xml:space="preserve">E2E + cài đặt, start/stop
→ E2E results; 05 §1, §2, §4
[05 §1, §2, §4]</t>
  </si>
  <si>
    <t xml:space="preserve">Final Report + slide + 08 final
→ 07 (phần chủ trì); 02 §9; slide; 08 final
[07 §1, §5, §7, §9; 02 §9; 09 slide 6, 11, 12; 08 §3, §5]</t>
  </si>
  <si>
    <t xml:space="preserve">Security acceptance: SEC-TC-HD-01
→ 06 SEC-DEMO-01; slide 9
[06 §4; 07 §5; 09 slide 9]</t>
  </si>
  <si>
    <t xml:space="preserve">Security acceptance: SEC-TC-HD-02
→ 06 SEC-DEMO-02; slide 7
[06 §4; 07 §5; 09 slide 7]</t>
  </si>
  <si>
    <t xml:space="preserve">Remediation evidence + slide 10
→ 06 SEC-DEMO-03; slide 7, 10
[06 §4; 07 §5; 09 slide 7, 10]</t>
  </si>
  <si>
    <t xml:space="preserve">User Guide workflow + Final demo
→ 06 §3; 07 §2, §4, §6; slide 1–4, 8
[06 §3; 07 §2, §4, §6; 09 slide 1–4, 8; 01 sign-off]</t>
  </si>
  <si>
    <t xml:space="preserve">User Guide (Manager/Admin) + kiến trúc
→ 06 §2 (phần), §5; 07 §3; slide 5
[06 §2, §5; 07 §3; 09 slide 5]</t>
  </si>
  <si>
    <t xml:space="preserve">User Guide (Employee/IT Staff) + video
→ 06 §1, §2 (phần); 07 §8; video
[06 §1, §2; 07 §8; 09 slide 10]</t>
  </si>
  <si>
    <t xml:space="preserve">Week</t>
  </si>
  <si>
    <t xml:space="preserve">Milestones</t>
  </si>
  <si>
    <t xml:space="preserve">SE deliverable</t>
  </si>
  <si>
    <t xml:space="preserve">IA deliverable</t>
  </si>
  <si>
    <t xml:space="preserve">Dependencies (SE ↔ IA)</t>
  </si>
  <si>
    <t xml:space="preserve">Review status</t>
  </si>
  <si>
    <t xml:space="preserve">Kickoff; duyệt rủi ro &amp; requirement</t>
  </si>
  <si>
    <t xml:space="preserve">SRS §1–6, §8 draft; BPMN L0/L1; backlog; FE skeleton</t>
  </si>
  <si>
    <t xml:space="preserve">SecRS §1–4 draft (Assets, Data class., STRIDE, IA-HD01–07); lab</t>
  </si>
  <si>
    <t xml:space="preserve">IA cần actor/FR từ SRS; SE ghi giả định phụ thuộc IA vào SRS §1</t>
  </si>
  <si>
    <t xml:space="preserve">Pending</t>
  </si>
  <si>
    <t xml:space="preserve">Review 1; nộp 01 SRS, 02 SecRS, 03 SDD; scope baseline</t>
  </si>
  <si>
    <t xml:space="preserve">SRS v1.0; SDD §1–6, §9 (kiến trúc, ERD, API, wireframe, ADR)</t>
  </si>
  <si>
    <t xml:space="preserve">SecRS v1.0 (§5 Access Matrix, §6 Test Plan, §7 Tools, §8 Risk); SDD §7–8</t>
  </si>
  <si>
    <t xml:space="preserve">Access Matrix ↔ API endpoints; audit log format ↔ backend</t>
  </si>
  <si>
    <t xml:space="preserve">Demo auth &amp; access checks; core modules</t>
  </si>
  <si>
    <t xml:space="preserve">Auth JWT + RBAC, Ticket CRUD, FE login/ticket; TC-HD-01/02/03/05</t>
  </si>
  <si>
    <t xml:space="preserve">04 §1; SEC-TC-HD-01/02/05; secrets scan; Defect Log</t>
  </si>
  <si>
    <t xml:space="preserve">IA cần API chạy được + test users theo từng role</t>
  </si>
  <si>
    <t xml:space="preserve">Review bảo mật nghiệp vụ; demo E2E lõi</t>
  </si>
  <si>
    <t xml:space="preserve">Workflow HD06/07/09/10, upload, comment, audit events; TC-HD-04/06–10</t>
  </si>
  <si>
    <t xml:space="preserve">SEC-TC-HD-03/04/06; Threat Model v2; Risk Register v1.1</t>
  </si>
  <si>
    <t xml:space="preserve">SE sửa BUG tuần 3; IA cần workflow API + audit events</t>
  </si>
  <si>
    <t xml:space="preserve">Integrated security demo; Review 2 MVP; cập nhật 03 SDD</t>
  </si>
  <si>
    <t xml:space="preserve">SLA, Dashboard, Search, Admin, deploy lab; TC-HD-11–15; SDD v2</t>
  </si>
  <si>
    <t xml:space="preserve">Rate limit, TLS/headers/WAF, alerting; SEC-TC-HD-02/07/08; SDD §7–8 v2</t>
  </si>
  <si>
    <t xml:space="preserve">Deploy sau reverse proxy (Chính ↔ Nhi); lockout (Cường ↔ Khánh)</t>
  </si>
  <si>
    <t xml:space="preserve">Hoàn tất 04 Test; nộp 05 Deployment; before/after report</t>
  </si>
  <si>
    <t xml:space="preserve">Regression, unit/integration, 04 §2/§5; 05 §1, §2, §4, §7</t>
  </si>
  <si>
    <t xml:space="preserve">ZAP after, retest, Evidence Index; 05 §3, §5, §6, §8; Before/After</t>
  </si>
  <si>
    <t xml:space="preserve">Mọi BUG High phải fix trước retest; build đóng băng cuối tuần 6</t>
  </si>
  <si>
    <t xml:space="preserve">Final Review; nộp 06, 07, 09; bảo vệ</t>
  </si>
  <si>
    <t xml:space="preserve">06 §1–3, §5; 07 §2–4, §6, §8; slide 1–5, 8, 10</t>
  </si>
  <si>
    <t xml:space="preserve">06 §4 SEC-DEMO; 07 §1, §5, §7, §9; 02 §9 sign-off; slide 6, 7, 9–12</t>
  </si>
  <si>
    <t xml:space="preserve">Dùng chung 1 bản build + dữ liệu demo; video dự phòng</t>
  </si>
  <si>
    <t xml:space="preserve">Workstream</t>
  </si>
  <si>
    <t xml:space="preserve">Khiêm
(IA)</t>
  </si>
  <si>
    <t xml:space="preserve">Minh Khánh
(IA)</t>
  </si>
  <si>
    <t xml:space="preserve">Minh Hoà
(IA)</t>
  </si>
  <si>
    <t xml:space="preserve">Hồng Nhi
(IA)</t>
  </si>
  <si>
    <t xml:space="preserve">Minh Trí
(SE)</t>
  </si>
  <si>
    <t xml:space="preserve">Phú Cường
(SE)</t>
  </si>
  <si>
    <t xml:space="preserve">Nhật Chính
(SE)</t>
  </si>
  <si>
    <t xml:space="preserve">BA / SRS (01)</t>
  </si>
  <si>
    <t xml:space="preserve">C</t>
  </si>
  <si>
    <t xml:space="preserve">I</t>
  </si>
  <si>
    <t xml:space="preserve">A/R</t>
  </si>
  <si>
    <t xml:space="preserve">R</t>
  </si>
  <si>
    <t xml:space="preserve">Security / SecRS &amp; Threat Model (02)</t>
  </si>
  <si>
    <t xml:space="preserve">System &amp; Security Design (03)</t>
  </si>
  <si>
    <t xml:space="preserve">Backend API</t>
  </si>
  <si>
    <t xml:space="preserve">Frontend</t>
  </si>
  <si>
    <t xml:space="preserve">Security testing SEC-TC (04 §3)</t>
  </si>
  <si>
    <t xml:space="preserve">A</t>
  </si>
  <si>
    <t xml:space="preserve">Logging &amp; Monitoring</t>
  </si>
  <si>
    <t xml:space="preserve">Hardening &amp; Deployment (05)</t>
  </si>
  <si>
    <t xml:space="preserve">Functional testing / Integration (04)</t>
  </si>
  <si>
    <t xml:space="preserve">User Guide &amp; Demo (06)</t>
  </si>
  <si>
    <t xml:space="preserve">Final Report &amp; Handover (07)</t>
  </si>
  <si>
    <t xml:space="preserve">Project Management &amp; Contribution (08)</t>
  </si>
  <si>
    <t xml:space="preserve">Final Presentation (09)</t>
  </si>
  <si>
    <t xml:space="preserve">R = Responsible (làm) · A = Accountable (chịu trách nhiệm cuối, 1 người/dòng) · C = Consulted (góp ý) · I = Informed (được thông báo)</t>
  </si>
  <si>
    <t xml:space="preserve">Chức năng</t>
  </si>
  <si>
    <t xml:space="preserve">Priority</t>
  </si>
  <si>
    <t xml:space="preserve">Owner SE</t>
  </si>
  <si>
    <t xml:space="preserve">Business Rule</t>
  </si>
  <si>
    <t xml:space="preserve">Security SR</t>
  </si>
  <si>
    <t xml:space="preserve">Owner IA</t>
  </si>
  <si>
    <t xml:space="preserve">Test case</t>
  </si>
  <si>
    <t xml:space="preserve">Security test</t>
  </si>
  <si>
    <t xml:space="preserve">Evidence (dự kiến)</t>
  </si>
  <si>
    <t xml:space="preserve">Tuần dev</t>
  </si>
  <si>
    <t xml:space="preserve">Status</t>
  </si>
  <si>
    <t xml:space="preserve">HD01</t>
  </si>
  <si>
    <t xml:space="preserve">Đăng nhập và phân quyền</t>
  </si>
  <si>
    <t xml:space="preserve">Must</t>
  </si>
  <si>
    <t xml:space="preserve">IA-HD01, IA-HD05</t>
  </si>
  <si>
    <t xml:space="preserve">Minh Khánh, Minh Hoà</t>
  </si>
  <si>
    <t xml:space="preserve">SEC-TC-HD-02, SEC-TC-HD-05</t>
  </si>
  <si>
    <t xml:space="preserve">HD02</t>
  </si>
  <si>
    <t xml:space="preserve">Quản lý danh mục</t>
  </si>
  <si>
    <t xml:space="preserve">IA-HD01</t>
  </si>
  <si>
    <t xml:space="preserve">TC-HD-02</t>
  </si>
  <si>
    <t xml:space="preserve">EV-HD-02</t>
  </si>
  <si>
    <t xml:space="preserve">HD03</t>
  </si>
  <si>
    <t xml:space="preserve">Tạo ticket</t>
  </si>
  <si>
    <t xml:space="preserve">TC-HD-03</t>
  </si>
  <si>
    <t xml:space="preserve">SEC-TC-HD-07</t>
  </si>
  <si>
    <t xml:space="preserve">EV-HD-03</t>
  </si>
  <si>
    <t xml:space="preserve">HD04</t>
  </si>
  <si>
    <t xml:space="preserve">Đính kèm file</t>
  </si>
  <si>
    <t xml:space="preserve">IA-HD03</t>
  </si>
  <si>
    <t xml:space="preserve">TC-HD-04</t>
  </si>
  <si>
    <t xml:space="preserve">SEC-TC-HD-03</t>
  </si>
  <si>
    <t xml:space="preserve">EV-HD-04</t>
  </si>
  <si>
    <t xml:space="preserve">Xem ticket</t>
  </si>
  <si>
    <t xml:space="preserve">TC-HD-05</t>
  </si>
  <si>
    <t xml:space="preserve">EV-HD-05</t>
  </si>
  <si>
    <t xml:space="preserve">HD06</t>
  </si>
  <si>
    <t xml:space="preserve">Phân công</t>
  </si>
  <si>
    <t xml:space="preserve">BR-HD-05</t>
  </si>
  <si>
    <t xml:space="preserve">IA-HD01, IA-HD04</t>
  </si>
  <si>
    <t xml:space="preserve">TC-HD-06</t>
  </si>
  <si>
    <t xml:space="preserve">SEC-TC-HD-06</t>
  </si>
  <si>
    <t xml:space="preserve">EV-HD-06</t>
  </si>
  <si>
    <t xml:space="preserve">HD07</t>
  </si>
  <si>
    <t xml:space="preserve">Cập nhật trạng thái</t>
  </si>
  <si>
    <t xml:space="preserve">TC-HD-07</t>
  </si>
  <si>
    <t xml:space="preserve">EV-HD-07</t>
  </si>
  <si>
    <t xml:space="preserve">HD08</t>
  </si>
  <si>
    <t xml:space="preserve">Trao đổi</t>
  </si>
  <si>
    <t xml:space="preserve">IA-HD02, IA-HD06</t>
  </si>
  <si>
    <t xml:space="preserve">TC-HD-08</t>
  </si>
  <si>
    <t xml:space="preserve">EV-HD-08</t>
  </si>
  <si>
    <t xml:space="preserve">HD09</t>
  </si>
  <si>
    <t xml:space="preserve">Nhật ký xử lý</t>
  </si>
  <si>
    <t xml:space="preserve">BR-HD-04</t>
  </si>
  <si>
    <t xml:space="preserve">IA-HD04</t>
  </si>
  <si>
    <t xml:space="preserve">TC-HD-09</t>
  </si>
  <si>
    <t xml:space="preserve">SEC-TC-HD-04</t>
  </si>
  <si>
    <t xml:space="preserve">EV-HD-09</t>
  </si>
  <si>
    <t xml:space="preserve">HD10</t>
  </si>
  <si>
    <t xml:space="preserve">Đóng / mở lại</t>
  </si>
  <si>
    <t xml:space="preserve">BR-HD-02, BR-HD-04</t>
  </si>
  <si>
    <t xml:space="preserve">TC-HD-10</t>
  </si>
  <si>
    <t xml:space="preserve">EV-HD-10</t>
  </si>
  <si>
    <t xml:space="preserve">HD11</t>
  </si>
  <si>
    <t xml:space="preserve">SLA</t>
  </si>
  <si>
    <t xml:space="preserve">BR-HD-03</t>
  </si>
  <si>
    <t xml:space="preserve">TC-HD-11</t>
  </si>
  <si>
    <t xml:space="preserve">EV-HD-11</t>
  </si>
  <si>
    <t xml:space="preserve">HD12</t>
  </si>
  <si>
    <t xml:space="preserve">Cảnh báo SLA</t>
  </si>
  <si>
    <t xml:space="preserve">Minh Trí, Nhật Chính</t>
  </si>
  <si>
    <t xml:space="preserve">TC-HD-12</t>
  </si>
  <si>
    <t xml:space="preserve">EV-HD-12</t>
  </si>
  <si>
    <t xml:space="preserve">HD13</t>
  </si>
  <si>
    <t xml:space="preserve">Tìm kiếm và lọc</t>
  </si>
  <si>
    <t xml:space="preserve">TC-HD-13</t>
  </si>
  <si>
    <t xml:space="preserve">EV-HD-13</t>
  </si>
  <si>
    <t xml:space="preserve">HD14</t>
  </si>
  <si>
    <t xml:space="preserve">Dashboard</t>
  </si>
  <si>
    <t xml:space="preserve">Nhật Chính, Minh Trí</t>
  </si>
  <si>
    <t xml:space="preserve">TC-HD-14</t>
  </si>
  <si>
    <t xml:space="preserve">SEC-TC-HD-05</t>
  </si>
  <si>
    <t xml:space="preserve">EV-HD-14</t>
  </si>
  <si>
    <t xml:space="preserve">HD15</t>
  </si>
  <si>
    <t xml:space="preserve">Đánh giá hài lòng</t>
  </si>
  <si>
    <t xml:space="preserve">Should</t>
  </si>
  <si>
    <t xml:space="preserve">TC-HD-15</t>
  </si>
  <si>
    <t xml:space="preserve">EV-HD-15</t>
  </si>
  <si>
    <t xml:space="preserve">(Hạ tầng)</t>
  </si>
  <si>
    <t xml:space="preserve">Deploy, reverse proxy, TLS, secrets</t>
  </si>
  <si>
    <t xml:space="preserve">SEC-TC-HD-08</t>
  </si>
  <si>
    <t xml:space="preserve">EV-HD-28</t>
  </si>
  <si>
    <t xml:space="preserve">Business Rules (01 §5)</t>
  </si>
  <si>
    <t xml:space="preserve">Rule ID</t>
  </si>
  <si>
    <t xml:space="preserve">Quy tắc</t>
  </si>
  <si>
    <t xml:space="preserve">Liên kết FR</t>
  </si>
  <si>
    <t xml:space="preserve">Owner</t>
  </si>
  <si>
    <t xml:space="preserve">Chỉ chuyển sang Resolved khi có nội dung giải pháp</t>
  </si>
  <si>
    <t xml:space="preserve">BR-HD-02</t>
  </si>
  <si>
    <t xml:space="preserve">Chỉ Employee sở hữu ticket hoặc IT Manager được đóng/mở lại</t>
  </si>
  <si>
    <t xml:space="preserve">SLA tính từ lúc tạo theo mức ưu tiên (MVP: giờ liên tục)</t>
  </si>
  <si>
    <t xml:space="preserve">HD11, HD12</t>
  </si>
  <si>
    <t xml:space="preserve">Ticket Closed không sửa trực tiếp; reopen phải ghi lịch sử</t>
  </si>
  <si>
    <t xml:space="preserve">HD09, HD10</t>
  </si>
  <si>
    <t xml:space="preserve">Một ticket có một người phụ trách chính tại một thời điểm</t>
  </si>
  <si>
    <t xml:space="preserve">Security Test Cases (02 §6 / 04 §3)</t>
  </si>
  <si>
    <t xml:space="preserve">SEC-TC ID</t>
  </si>
  <si>
    <t xml:space="preserve">Kịch bản (chỉ trong lab)</t>
  </si>
  <si>
    <t xml:space="preserve">Tuần chạy</t>
  </si>
  <si>
    <t xml:space="preserve">Mã trong đề</t>
  </si>
  <si>
    <t xml:space="preserve">Expected</t>
  </si>
  <si>
    <t xml:space="preserve">Employee A đọc/sửa ticket của Employee B bằng đổi ID</t>
  </si>
  <si>
    <t xml:space="preserve">3, 6, 7</t>
  </si>
  <si>
    <t xml:space="preserve">SEC-TC-101</t>
  </si>
  <si>
    <t xml:space="preserve">EV-HD-21</t>
  </si>
  <si>
    <t xml:space="preserve">403/404 + audit event</t>
  </si>
  <si>
    <t xml:space="preserve">SEC-TC-HD-02</t>
  </si>
  <si>
    <t xml:space="preserve">Đăng nhập sai nhiều lần liên tiếp</t>
  </si>
  <si>
    <t xml:space="preserve">IA-HD05</t>
  </si>
  <si>
    <t xml:space="preserve">3, 5, 7</t>
  </si>
  <si>
    <t xml:space="preserve">SEC-TC-102</t>
  </si>
  <si>
    <t xml:space="preserve">EV-HD-22</t>
  </si>
  <si>
    <t xml:space="preserve">Bị giới hạn + cảnh báo</t>
  </si>
  <si>
    <t xml:space="preserve">Upload file sai loại/quá dung lượng/path traversal; tải file ticket khác</t>
  </si>
  <si>
    <t xml:space="preserve">4, 6</t>
  </si>
  <si>
    <t xml:space="preserve">EV-HD-23</t>
  </si>
  <si>
    <t xml:space="preserve">Từ chối + log</t>
  </si>
  <si>
    <t xml:space="preserve">Kiểm tra audit log: login, 403, đổi quyền, assignment, đổi trạng thái</t>
  </si>
  <si>
    <t xml:space="preserve">EV-HD-24</t>
  </si>
  <si>
    <t xml:space="preserve">Đủ event, không lộ secret</t>
  </si>
  <si>
    <t xml:space="preserve">Employee/IT Staff gọi API dành cho Manager/Admin</t>
  </si>
  <si>
    <t xml:space="preserve">3, 6</t>
  </si>
  <si>
    <t xml:space="preserve">EV-HD-25</t>
  </si>
  <si>
    <t xml:space="preserve">403 + audit event</t>
  </si>
  <si>
    <t xml:space="preserve">Bypass workflow: nhảy trạng thái, sửa ticket Closed, mass assignment</t>
  </si>
  <si>
    <t xml:space="preserve">EV-HD-26</t>
  </si>
  <si>
    <t xml:space="preserve">Từ chối theo BR</t>
  </si>
  <si>
    <t xml:space="preserve">XSS ở mô tả/bình luận, SQLi ở tìm kiếm</t>
  </si>
  <si>
    <t xml:space="preserve">5, 6</t>
  </si>
  <si>
    <t xml:space="preserve">EV-HD-27</t>
  </si>
  <si>
    <t xml:space="preserve">Input được xử lý an toàn</t>
  </si>
  <si>
    <t xml:space="preserve">TLS, security headers, secrets trong repo/image</t>
  </si>
  <si>
    <t xml:space="preserve">3, 5, 6</t>
  </si>
  <si>
    <t xml:space="preserve">Đạt checklist hardening</t>
  </si>
  <si>
    <t xml:space="preserve">Student</t>
  </si>
  <si>
    <t xml:space="preserve">Role</t>
  </si>
  <si>
    <t xml:space="preserve">Task IDs</t>
  </si>
  <si>
    <t xml:space="preserve">Commit / PR / doc link</t>
  </si>
  <si>
    <t xml:space="preserve">Outcome</t>
  </si>
  <si>
    <t xml:space="preserve">IA – Trưởng nhóm &amp; IA Lead</t>
  </si>
  <si>
    <t xml:space="preserve">T1-01, T2-01, T3-01, T4-01, T5-01, T6-01, T7-01</t>
  </si>
  <si>
    <t xml:space="preserve">IA – IA – Access Control &amp; AuthZ Testing</t>
  </si>
  <si>
    <t xml:space="preserve">T1-02, T2-02, T3-02, T4-02, T5-02, T6-02, T7-02</t>
  </si>
  <si>
    <t xml:space="preserve">IA – IA – Logging &amp; Security Monitoring</t>
  </si>
  <si>
    <t xml:space="preserve">T1-03, T2-03, T3-03, T4-03, T5-03, T6-03, T7-03</t>
  </si>
  <si>
    <t xml:space="preserve">IA – IA – Hardening, Upload &amp; Deployment Security</t>
  </si>
  <si>
    <t xml:space="preserve">T1-04, T2-04, T3-04, T4-04, T5-04, T6-04, T7-04</t>
  </si>
  <si>
    <t xml:space="preserve">SE – SE Lead / BA + Backend 2 (Business logic)</t>
  </si>
  <si>
    <t xml:space="preserve">T1-05, T2-05, T3-05, T4-05, T5-05, T6-05, T7-05</t>
  </si>
  <si>
    <t xml:space="preserve">SE – Backend 1 (DB, Auth, CRUD API)</t>
  </si>
  <si>
    <t xml:space="preserve">T1-06, T2-06, T3-06, T4-06, T5-06, T6-06, T7-06</t>
  </si>
  <si>
    <t xml:space="preserve">SE – Frontend (ReactJS) + Deployment</t>
  </si>
  <si>
    <t xml:space="preserve">T1-07, T2-07, T3-07, T4-07, T5-07, T6-07, T7-07</t>
  </si>
  <si>
    <t xml:space="preserve">Task IDs khớp cột Task ID ở sheet Phân công chi tiết. Điền link commit/PR/tài liệu để chứng minh đóng góp cá nhân (10% điểm).</t>
  </si>
  <si>
    <t xml:space="preserve">ID</t>
  </si>
  <si>
    <t xml:space="preserve">Risk / blocker</t>
  </si>
  <si>
    <t xml:space="preserve">Mitigation</t>
  </si>
  <si>
    <t xml:space="preserve">Due (tuần)</t>
  </si>
  <si>
    <t xml:space="preserve">R-01</t>
  </si>
  <si>
    <t xml:space="preserve">VM lab không đủ RAM để chạy Wazuh</t>
  </si>
  <si>
    <t xml:space="preserve">Dự phòng: file log + Python rules (tài liệu cho phép thay thế)</t>
  </si>
  <si>
    <t xml:space="preserve">Open</t>
  </si>
  <si>
    <t xml:space="preserve">R-02</t>
  </si>
  <si>
    <t xml:space="preserve">Chưa chốt stack backend (Spring Boot / ASP.NET Core)</t>
  </si>
  <si>
    <t xml:space="preserve">Chốt trong tuần 1, ghi ADR-01 ở SDD §9</t>
  </si>
  <si>
    <t xml:space="preserve">R-03</t>
  </si>
  <si>
    <t xml:space="preserve">Hai bạn ngành AI và IS chưa quen web stack</t>
  </si>
  <si>
    <t xml:space="preserve">Pair programming tuần 1–3; Trí review mọi PR backend/frontend</t>
  </si>
  <si>
    <t xml:space="preserve">R-04</t>
  </si>
  <si>
    <t xml:space="preserve">Thay đổi scope sau Review 1</t>
  </si>
  <si>
    <t xml:space="preserve">Nộp scope baseline cuối tuần 2; mọi thay đổi tăng version + ghi 08 §5</t>
  </si>
  <si>
    <t xml:space="preserve">R-05</t>
  </si>
  <si>
    <t xml:space="preserve">Lộ secret/token thật trong repo, log hoặc báo cáo</t>
  </si>
  <si>
    <t xml:space="preserve">Gitleaks pre-commit/CI; .env.example; che log trước khi đưa vào evidence/</t>
  </si>
  <si>
    <t xml:space="preserve">R-06</t>
  </si>
  <si>
    <t xml:space="preserve">BUG phát hiện muộn, không kịp fix + retest</t>
  </si>
  <si>
    <t xml:space="preserve">Đóng băng tính năng cuối tuần 5; tuần 6 chỉ fix và retest</t>
  </si>
  <si>
    <t xml:space="preserve">R-07</t>
  </si>
  <si>
    <t xml:space="preserve">Demo lab lỗi mạng/máy trong buổi bảo vệ</t>
  </si>
  <si>
    <t xml:space="preserve">Video demo dự phòng + bản Docker chạy trên laptop</t>
  </si>
  <si>
    <t xml:space="preserve">Tổng việc</t>
  </si>
  <si>
    <t xml:space="preserve">Done</t>
  </si>
  <si>
    <t xml:space="preserve">In progress / Review</t>
  </si>
  <si>
    <t xml:space="preserve">Blocked</t>
  </si>
  <si>
    <t xml:space="preserve">Done thiếu evidence</t>
  </si>
  <si>
    <t xml:space="preserve">% Done</t>
  </si>
  <si>
    <t xml:space="preserve">TỔNG NHÓM</t>
  </si>
  <si>
    <t xml:space="preserve">Tài liệu đến hạn</t>
  </si>
  <si>
    <t xml:space="preserve">01 SRS, 02 SecRS, 03 SDD</t>
  </si>
  <si>
    <t xml:space="preserve">04 §1</t>
  </si>
  <si>
    <t xml:space="preserve">04 (bắt đầu)</t>
  </si>
  <si>
    <t xml:space="preserve">03 SDD v2</t>
  </si>
  <si>
    <t xml:space="preserve">04 hoàn tất, 05 Deployment</t>
  </si>
  <si>
    <t xml:space="preserve">06, 07, 09, 08 final</t>
  </si>
  <si>
    <t xml:space="preserve">Cập nhật cột Trạng thái + Evidence ở sheet Phân công chi tiết; bảng này tự tính.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</si>
</sst>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name val="Arial"/>
      <family val="2"/>
    </font>
    <font>
      <sz val="9"/>
      <name val="Arial"/>
      <family val="0"/>
      <charset val="1"/>
    </font>
    <font>
      <i val="true"/>
      <sz val="9"/>
      <name val="Arial"/>
      <family val="0"/>
      <charset val="1"/>
    </font>
    <font>
      <b val="true"/>
      <sz val="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1F3864"/>
        <bgColor rgb="FF333333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2EFDA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ont>
        <b val="1"/>
        <color rgb="FFFFFFFF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1F3864"/>
      </font>
      <fill>
        <patternFill>
          <bgColor rgb="FFBDD7E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BDD7E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CE4D6"/>
      <rgbColor rgb="FFF2F2F2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8"/>
    <col collapsed="false" customWidth="true" hidden="false" outlineLevel="0" max="5" min="5" style="0" width="11"/>
    <col collapsed="false" customWidth="true" hidden="false" outlineLevel="0" max="6" min="6" style="0" width="34"/>
    <col collapsed="false" customWidth="true" hidden="false" outlineLevel="0" max="7" min="7" style="0" width="9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/>
      <c r="C3" s="3" t="s">
        <v>2</v>
      </c>
      <c r="D3" s="3"/>
      <c r="E3" s="3"/>
      <c r="F3" s="3"/>
      <c r="G3" s="3"/>
    </row>
    <row r="4" customFormat="false" ht="15" hidden="false" customHeight="false" outlineLevel="0" collapsed="false">
      <c r="A4" s="2" t="s">
        <v>3</v>
      </c>
      <c r="B4" s="2"/>
      <c r="C4" s="3" t="s">
        <v>4</v>
      </c>
      <c r="D4" s="3"/>
      <c r="E4" s="3"/>
      <c r="F4" s="3"/>
      <c r="G4" s="3"/>
    </row>
    <row r="5" customFormat="false" ht="15" hidden="false" customHeight="false" outlineLevel="0" collapsed="false">
      <c r="A5" s="2" t="s">
        <v>5</v>
      </c>
      <c r="B5" s="2"/>
      <c r="C5" s="4" t="n">
        <v>46314</v>
      </c>
      <c r="D5" s="4"/>
      <c r="E5" s="4"/>
      <c r="F5" s="4"/>
      <c r="G5" s="4"/>
    </row>
    <row r="6" customFormat="false" ht="15" hidden="false" customHeight="false" outlineLevel="0" collapsed="false">
      <c r="A6" s="2" t="s">
        <v>6</v>
      </c>
      <c r="B6" s="2"/>
      <c r="C6" s="5" t="s">
        <v>7</v>
      </c>
      <c r="D6" s="5"/>
      <c r="E6" s="5"/>
      <c r="F6" s="5"/>
      <c r="G6" s="5"/>
    </row>
    <row r="7" customFormat="false" ht="15" hidden="false" customHeight="false" outlineLevel="0" collapsed="false">
      <c r="A7" s="2" t="s">
        <v>8</v>
      </c>
      <c r="B7" s="2"/>
      <c r="C7" s="5" t="s">
        <v>9</v>
      </c>
      <c r="D7" s="5"/>
      <c r="E7" s="5"/>
      <c r="F7" s="5"/>
      <c r="G7" s="5"/>
    </row>
    <row r="8" customFormat="false" ht="15" hidden="false" customHeight="false" outlineLevel="0" collapsed="false">
      <c r="A8" s="2" t="s">
        <v>10</v>
      </c>
      <c r="B8" s="2"/>
      <c r="C8" s="5" t="s">
        <v>11</v>
      </c>
      <c r="D8" s="5"/>
      <c r="E8" s="5"/>
      <c r="F8" s="5"/>
      <c r="G8" s="5"/>
    </row>
    <row r="10" customFormat="false" ht="30" hidden="false" customHeight="true" outlineLevel="0" collapsed="false">
      <c r="A10" s="6" t="s">
        <v>12</v>
      </c>
      <c r="B10" s="6" t="s">
        <v>13</v>
      </c>
      <c r="C10" s="6" t="s">
        <v>14</v>
      </c>
      <c r="D10" s="6" t="s">
        <v>15</v>
      </c>
      <c r="E10" s="6" t="s">
        <v>16</v>
      </c>
      <c r="F10" s="6" t="s">
        <v>17</v>
      </c>
      <c r="G10" s="6" t="s">
        <v>18</v>
      </c>
    </row>
    <row r="11" customFormat="false" ht="31.5" hidden="false" customHeight="true" outlineLevel="0" collapsed="false">
      <c r="A11" s="7" t="n">
        <v>1</v>
      </c>
      <c r="B11" s="7" t="s">
        <v>19</v>
      </c>
      <c r="C11" s="8" t="s">
        <v>20</v>
      </c>
      <c r="D11" s="7" t="s">
        <v>21</v>
      </c>
      <c r="E11" s="7" t="s">
        <v>21</v>
      </c>
      <c r="F11" s="9" t="s">
        <v>22</v>
      </c>
      <c r="G11" s="9" t="s">
        <v>23</v>
      </c>
    </row>
    <row r="12" customFormat="false" ht="31.5" hidden="false" customHeight="true" outlineLevel="0" collapsed="false">
      <c r="A12" s="7" t="n">
        <v>2</v>
      </c>
      <c r="B12" s="7" t="s">
        <v>24</v>
      </c>
      <c r="C12" s="8" t="s">
        <v>25</v>
      </c>
      <c r="D12" s="7" t="s">
        <v>21</v>
      </c>
      <c r="E12" s="7" t="s">
        <v>21</v>
      </c>
      <c r="F12" s="9" t="s">
        <v>26</v>
      </c>
      <c r="G12" s="9" t="s">
        <v>27</v>
      </c>
    </row>
    <row r="13" customFormat="false" ht="31.5" hidden="false" customHeight="true" outlineLevel="0" collapsed="false">
      <c r="A13" s="7" t="n">
        <v>3</v>
      </c>
      <c r="B13" s="7" t="s">
        <v>28</v>
      </c>
      <c r="C13" s="8" t="s">
        <v>29</v>
      </c>
      <c r="D13" s="7" t="s">
        <v>21</v>
      </c>
      <c r="E13" s="7" t="s">
        <v>21</v>
      </c>
      <c r="F13" s="9" t="s">
        <v>30</v>
      </c>
      <c r="G13" s="9" t="s">
        <v>31</v>
      </c>
    </row>
    <row r="14" customFormat="false" ht="31.5" hidden="false" customHeight="true" outlineLevel="0" collapsed="false">
      <c r="A14" s="7" t="n">
        <v>4</v>
      </c>
      <c r="B14" s="7" t="s">
        <v>32</v>
      </c>
      <c r="C14" s="8" t="s">
        <v>33</v>
      </c>
      <c r="D14" s="7" t="s">
        <v>21</v>
      </c>
      <c r="E14" s="7" t="s">
        <v>21</v>
      </c>
      <c r="F14" s="9" t="s">
        <v>34</v>
      </c>
      <c r="G14" s="9" t="s">
        <v>35</v>
      </c>
    </row>
    <row r="15" customFormat="false" ht="31.5" hidden="false" customHeight="true" outlineLevel="0" collapsed="false">
      <c r="A15" s="10" t="n">
        <v>5</v>
      </c>
      <c r="B15" s="10" t="s">
        <v>36</v>
      </c>
      <c r="C15" s="11" t="s">
        <v>37</v>
      </c>
      <c r="D15" s="10" t="s">
        <v>38</v>
      </c>
      <c r="E15" s="10" t="s">
        <v>38</v>
      </c>
      <c r="F15" s="12" t="s">
        <v>39</v>
      </c>
      <c r="G15" s="12" t="s">
        <v>40</v>
      </c>
    </row>
    <row r="16" customFormat="false" ht="31.5" hidden="false" customHeight="true" outlineLevel="0" collapsed="false">
      <c r="A16" s="10" t="n">
        <v>6</v>
      </c>
      <c r="B16" s="10" t="s">
        <v>41</v>
      </c>
      <c r="C16" s="11" t="s">
        <v>42</v>
      </c>
      <c r="D16" s="10" t="s">
        <v>43</v>
      </c>
      <c r="E16" s="10" t="s">
        <v>38</v>
      </c>
      <c r="F16" s="12" t="s">
        <v>44</v>
      </c>
      <c r="G16" s="12" t="s">
        <v>45</v>
      </c>
    </row>
    <row r="17" customFormat="false" ht="31.5" hidden="false" customHeight="true" outlineLevel="0" collapsed="false">
      <c r="A17" s="10" t="n">
        <v>7</v>
      </c>
      <c r="B17" s="10" t="s">
        <v>46</v>
      </c>
      <c r="C17" s="11" t="s">
        <v>47</v>
      </c>
      <c r="D17" s="10" t="s">
        <v>48</v>
      </c>
      <c r="E17" s="10" t="s">
        <v>38</v>
      </c>
      <c r="F17" s="12" t="s">
        <v>49</v>
      </c>
      <c r="G17" s="12" t="s">
        <v>50</v>
      </c>
    </row>
    <row r="19" customFormat="false" ht="15" hidden="false" customHeight="false" outlineLevel="0" collapsed="false">
      <c r="A19" s="13" t="s">
        <v>51</v>
      </c>
    </row>
    <row r="20" customFormat="false" ht="30" hidden="false" customHeight="true" outlineLevel="0" collapsed="false">
      <c r="A20" s="6" t="s">
        <v>52</v>
      </c>
      <c r="B20" s="6" t="s">
        <v>53</v>
      </c>
      <c r="C20" s="6" t="s">
        <v>54</v>
      </c>
      <c r="D20" s="14"/>
      <c r="E20" s="14"/>
      <c r="F20" s="14"/>
      <c r="G20" s="14"/>
    </row>
    <row r="21" customFormat="false" ht="15" hidden="false" customHeight="false" outlineLevel="0" collapsed="false">
      <c r="A21" s="15" t="s">
        <v>55</v>
      </c>
      <c r="B21" s="15" t="s">
        <v>56</v>
      </c>
      <c r="C21" s="16" t="s">
        <v>57</v>
      </c>
    </row>
    <row r="22" customFormat="false" ht="15" hidden="false" customHeight="false" outlineLevel="0" collapsed="false">
      <c r="A22" s="15" t="s">
        <v>58</v>
      </c>
      <c r="B22" s="15" t="s">
        <v>59</v>
      </c>
      <c r="C22" s="16" t="s">
        <v>60</v>
      </c>
    </row>
    <row r="23" customFormat="false" ht="15" hidden="false" customHeight="false" outlineLevel="0" collapsed="false">
      <c r="A23" s="15" t="s">
        <v>61</v>
      </c>
      <c r="B23" s="15" t="s">
        <v>62</v>
      </c>
      <c r="C23" s="16" t="s">
        <v>63</v>
      </c>
    </row>
    <row r="24" customFormat="false" ht="15" hidden="false" customHeight="false" outlineLevel="0" collapsed="false">
      <c r="A24" s="15" t="s">
        <v>64</v>
      </c>
      <c r="B24" s="15" t="s">
        <v>65</v>
      </c>
      <c r="C24" s="16" t="s">
        <v>66</v>
      </c>
    </row>
    <row r="25" customFormat="false" ht="46.25" hidden="false" customHeight="false" outlineLevel="0" collapsed="false">
      <c r="A25" s="15" t="s">
        <v>67</v>
      </c>
      <c r="B25" s="15" t="s">
        <v>68</v>
      </c>
      <c r="C25" s="16" t="s">
        <v>69</v>
      </c>
    </row>
    <row r="26" customFormat="false" ht="15" hidden="false" customHeight="false" outlineLevel="0" collapsed="false">
      <c r="A26" s="15" t="s">
        <v>70</v>
      </c>
      <c r="B26" s="15" t="s">
        <v>71</v>
      </c>
      <c r="C26" s="16" t="s">
        <v>72</v>
      </c>
    </row>
    <row r="28" customFormat="false" ht="15" hidden="false" customHeight="false" outlineLevel="0" collapsed="false">
      <c r="A28" s="17" t="s">
        <v>73</v>
      </c>
    </row>
    <row r="29" customFormat="false" ht="15" hidden="false" customHeight="false" outlineLevel="0" collapsed="false">
      <c r="A29" s="18" t="s">
        <v>74</v>
      </c>
    </row>
    <row r="30" customFormat="false" ht="15" hidden="false" customHeight="false" outlineLevel="0" collapsed="false">
      <c r="A30" s="18" t="s">
        <v>75</v>
      </c>
    </row>
    <row r="31" customFormat="false" ht="15" hidden="false" customHeight="false" outlineLevel="0" collapsed="false">
      <c r="A31" s="18" t="s">
        <v>76</v>
      </c>
    </row>
    <row r="32" customFormat="false" ht="15" hidden="false" customHeight="false" outlineLevel="0" collapsed="false">
      <c r="A32" s="18" t="s">
        <v>77</v>
      </c>
    </row>
    <row r="33" customFormat="false" ht="15" hidden="false" customHeight="false" outlineLevel="0" collapsed="false">
      <c r="A33" s="18" t="s">
        <v>78</v>
      </c>
    </row>
    <row r="34" customFormat="false" ht="15" hidden="false" customHeight="false" outlineLevel="0" collapsed="false">
      <c r="A34" s="18"/>
    </row>
    <row r="35" customFormat="false" ht="15" hidden="false" customHeight="false" outlineLevel="0" collapsed="false">
      <c r="A35" s="18" t="s">
        <v>79</v>
      </c>
    </row>
    <row r="36" customFormat="false" ht="15" hidden="false" customHeight="false" outlineLevel="0" collapsed="false">
      <c r="A36" s="18" t="s">
        <v>80</v>
      </c>
    </row>
  </sheetData>
  <mergeCells count="12">
    <mergeCell ref="A3:B3"/>
    <mergeCell ref="C3:G3"/>
    <mergeCell ref="A4:B4"/>
    <mergeCell ref="C4:G4"/>
    <mergeCell ref="A5:B5"/>
    <mergeCell ref="C5:G5"/>
    <mergeCell ref="A6:B6"/>
    <mergeCell ref="C6:G6"/>
    <mergeCell ref="A7:B7"/>
    <mergeCell ref="C7:G7"/>
    <mergeCell ref="A8:B8"/>
    <mergeCell ref="C8:G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7" ySplit="1" topLeftCell="H2" activePane="bottomRight" state="frozen"/>
      <selection pane="topLeft" activeCell="A1" activeCellId="0" sqref="A1"/>
      <selection pane="topRight" activeCell="H1" activeCellId="0" sqref="H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6"/>
    <col collapsed="false" customWidth="true" hidden="false" outlineLevel="0" max="4" min="3" style="0" width="11"/>
    <col collapsed="false" customWidth="true" hidden="false" outlineLevel="0" max="5" min="5" style="0" width="30"/>
    <col collapsed="false" customWidth="true" hidden="false" outlineLevel="0" max="6" min="6" style="0" width="11"/>
    <col collapsed="false" customWidth="true" hidden="false" outlineLevel="0" max="7" min="7" style="0" width="22"/>
    <col collapsed="false" customWidth="true" hidden="false" outlineLevel="0" max="9" min="8" style="0" width="7"/>
    <col collapsed="false" customWidth="true" hidden="false" outlineLevel="0" max="10" min="10" style="0" width="26"/>
    <col collapsed="false" customWidth="true" hidden="false" outlineLevel="0" max="11" min="11" style="0" width="62"/>
    <col collapsed="false" customWidth="true" hidden="false" outlineLevel="0" max="12" min="12" style="0" width="30"/>
    <col collapsed="false" customWidth="true" hidden="false" outlineLevel="0" max="14" min="13" style="0" width="26"/>
    <col collapsed="false" customWidth="true" hidden="false" outlineLevel="0" max="15" min="15" style="0" width="13"/>
    <col collapsed="false" customWidth="true" hidden="false" outlineLevel="0" max="16" min="16" style="0" width="18"/>
    <col collapsed="false" customWidth="true" hidden="false" outlineLevel="0" max="17" min="17" style="0" width="16"/>
    <col collapsed="false" customWidth="true" hidden="false" outlineLevel="0" max="18" min="18" style="0" width="18"/>
  </cols>
  <sheetData>
    <row r="1" customFormat="false" ht="30" hidden="false" customHeight="true" outlineLevel="0" collapsed="false">
      <c r="A1" s="6" t="s">
        <v>81</v>
      </c>
      <c r="B1" s="6" t="s">
        <v>82</v>
      </c>
      <c r="C1" s="6" t="s">
        <v>83</v>
      </c>
      <c r="D1" s="6" t="s">
        <v>84</v>
      </c>
      <c r="E1" s="6" t="s">
        <v>85</v>
      </c>
      <c r="F1" s="6" t="s">
        <v>13</v>
      </c>
      <c r="G1" s="6" t="s">
        <v>14</v>
      </c>
      <c r="H1" s="6" t="s">
        <v>15</v>
      </c>
      <c r="I1" s="6" t="s">
        <v>86</v>
      </c>
      <c r="J1" s="6" t="s">
        <v>87</v>
      </c>
      <c r="K1" s="6" t="s">
        <v>88</v>
      </c>
      <c r="L1" s="6" t="s">
        <v>89</v>
      </c>
      <c r="M1" s="6" t="s">
        <v>90</v>
      </c>
      <c r="N1" s="6" t="s">
        <v>91</v>
      </c>
      <c r="O1" s="6" t="s">
        <v>10</v>
      </c>
      <c r="P1" s="6" t="s">
        <v>92</v>
      </c>
      <c r="Q1" s="6" t="s">
        <v>93</v>
      </c>
      <c r="R1" s="6" t="s">
        <v>94</v>
      </c>
    </row>
    <row r="2" customFormat="false" ht="79.5" hidden="false" customHeight="true" outlineLevel="0" collapsed="false">
      <c r="A2" s="19" t="s">
        <v>95</v>
      </c>
      <c r="B2" s="15" t="n">
        <v>1</v>
      </c>
      <c r="C2" s="20" t="n">
        <f aca="false">'Tổng quan'!$C$5+(B2-1)*7</f>
        <v>46314</v>
      </c>
      <c r="D2" s="20" t="n">
        <f aca="false">C2+6</f>
        <v>46320</v>
      </c>
      <c r="E2" s="21" t="s">
        <v>96</v>
      </c>
      <c r="F2" s="15" t="s">
        <v>19</v>
      </c>
      <c r="G2" s="22" t="s">
        <v>20</v>
      </c>
      <c r="H2" s="7" t="s">
        <v>21</v>
      </c>
      <c r="I2" s="7" t="s">
        <v>21</v>
      </c>
      <c r="J2" s="8" t="s">
        <v>97</v>
      </c>
      <c r="K2" s="9" t="s">
        <v>98</v>
      </c>
      <c r="L2" s="9" t="s">
        <v>99</v>
      </c>
      <c r="M2" s="9" t="s">
        <v>100</v>
      </c>
      <c r="N2" s="9" t="s">
        <v>101</v>
      </c>
      <c r="O2" s="23" t="s">
        <v>102</v>
      </c>
      <c r="P2" s="24"/>
      <c r="Q2" s="24"/>
      <c r="R2" s="24"/>
    </row>
    <row r="3" customFormat="false" ht="79.5" hidden="false" customHeight="true" outlineLevel="0" collapsed="false">
      <c r="A3" s="19" t="s">
        <v>103</v>
      </c>
      <c r="B3" s="15" t="n">
        <v>1</v>
      </c>
      <c r="C3" s="20" t="n">
        <f aca="false">'Tổng quan'!$C$5+(B3-1)*7</f>
        <v>46314</v>
      </c>
      <c r="D3" s="20" t="n">
        <f aca="false">C3+6</f>
        <v>46320</v>
      </c>
      <c r="E3" s="21" t="s">
        <v>96</v>
      </c>
      <c r="F3" s="15" t="s">
        <v>24</v>
      </c>
      <c r="G3" s="22" t="s">
        <v>25</v>
      </c>
      <c r="H3" s="7" t="s">
        <v>21</v>
      </c>
      <c r="I3" s="7" t="s">
        <v>21</v>
      </c>
      <c r="J3" s="8" t="s">
        <v>104</v>
      </c>
      <c r="K3" s="9" t="s">
        <v>105</v>
      </c>
      <c r="L3" s="9" t="s">
        <v>106</v>
      </c>
      <c r="M3" s="9" t="s">
        <v>107</v>
      </c>
      <c r="N3" s="9" t="s">
        <v>108</v>
      </c>
      <c r="O3" s="23" t="s">
        <v>102</v>
      </c>
      <c r="P3" s="24"/>
      <c r="Q3" s="24"/>
      <c r="R3" s="24"/>
    </row>
    <row r="4" customFormat="false" ht="79.5" hidden="false" customHeight="true" outlineLevel="0" collapsed="false">
      <c r="A4" s="19" t="s">
        <v>109</v>
      </c>
      <c r="B4" s="15" t="n">
        <v>1</v>
      </c>
      <c r="C4" s="20" t="n">
        <f aca="false">'Tổng quan'!$C$5+(B4-1)*7</f>
        <v>46314</v>
      </c>
      <c r="D4" s="20" t="n">
        <f aca="false">C4+6</f>
        <v>46320</v>
      </c>
      <c r="E4" s="21" t="s">
        <v>96</v>
      </c>
      <c r="F4" s="15" t="s">
        <v>28</v>
      </c>
      <c r="G4" s="22" t="s">
        <v>29</v>
      </c>
      <c r="H4" s="7" t="s">
        <v>21</v>
      </c>
      <c r="I4" s="7" t="s">
        <v>21</v>
      </c>
      <c r="J4" s="8" t="s">
        <v>110</v>
      </c>
      <c r="K4" s="9" t="s">
        <v>111</v>
      </c>
      <c r="L4" s="9" t="s">
        <v>112</v>
      </c>
      <c r="M4" s="9" t="s">
        <v>113</v>
      </c>
      <c r="N4" s="9" t="s">
        <v>114</v>
      </c>
      <c r="O4" s="23" t="s">
        <v>102</v>
      </c>
      <c r="P4" s="24"/>
      <c r="Q4" s="24"/>
      <c r="R4" s="24"/>
    </row>
    <row r="5" customFormat="false" ht="79.5" hidden="false" customHeight="true" outlineLevel="0" collapsed="false">
      <c r="A5" s="19" t="s">
        <v>115</v>
      </c>
      <c r="B5" s="15" t="n">
        <v>1</v>
      </c>
      <c r="C5" s="20" t="n">
        <f aca="false">'Tổng quan'!$C$5+(B5-1)*7</f>
        <v>46314</v>
      </c>
      <c r="D5" s="20" t="n">
        <f aca="false">C5+6</f>
        <v>46320</v>
      </c>
      <c r="E5" s="21" t="s">
        <v>96</v>
      </c>
      <c r="F5" s="15" t="s">
        <v>32</v>
      </c>
      <c r="G5" s="22" t="s">
        <v>33</v>
      </c>
      <c r="H5" s="7" t="s">
        <v>21</v>
      </c>
      <c r="I5" s="7" t="s">
        <v>21</v>
      </c>
      <c r="J5" s="8" t="s">
        <v>116</v>
      </c>
      <c r="K5" s="9" t="s">
        <v>117</v>
      </c>
      <c r="L5" s="9" t="s">
        <v>118</v>
      </c>
      <c r="M5" s="9" t="s">
        <v>113</v>
      </c>
      <c r="N5" s="9" t="s">
        <v>119</v>
      </c>
      <c r="O5" s="23" t="s">
        <v>102</v>
      </c>
      <c r="P5" s="24"/>
      <c r="Q5" s="24"/>
      <c r="R5" s="24"/>
    </row>
    <row r="6" customFormat="false" ht="79.5" hidden="false" customHeight="true" outlineLevel="0" collapsed="false">
      <c r="A6" s="19" t="s">
        <v>120</v>
      </c>
      <c r="B6" s="15" t="n">
        <v>1</v>
      </c>
      <c r="C6" s="20" t="n">
        <f aca="false">'Tổng quan'!$C$5+(B6-1)*7</f>
        <v>46314</v>
      </c>
      <c r="D6" s="20" t="n">
        <f aca="false">C6+6</f>
        <v>46320</v>
      </c>
      <c r="E6" s="21" t="s">
        <v>96</v>
      </c>
      <c r="F6" s="15" t="s">
        <v>36</v>
      </c>
      <c r="G6" s="22" t="s">
        <v>37</v>
      </c>
      <c r="H6" s="10" t="s">
        <v>38</v>
      </c>
      <c r="I6" s="10" t="s">
        <v>38</v>
      </c>
      <c r="J6" s="11" t="s">
        <v>121</v>
      </c>
      <c r="K6" s="12" t="s">
        <v>122</v>
      </c>
      <c r="L6" s="12" t="s">
        <v>123</v>
      </c>
      <c r="M6" s="12" t="s">
        <v>124</v>
      </c>
      <c r="N6" s="12" t="s">
        <v>125</v>
      </c>
      <c r="O6" s="23" t="s">
        <v>102</v>
      </c>
      <c r="P6" s="24"/>
      <c r="Q6" s="24"/>
      <c r="R6" s="24"/>
    </row>
    <row r="7" customFormat="false" ht="79.5" hidden="false" customHeight="true" outlineLevel="0" collapsed="false">
      <c r="A7" s="19" t="s">
        <v>126</v>
      </c>
      <c r="B7" s="15" t="n">
        <v>1</v>
      </c>
      <c r="C7" s="20" t="n">
        <f aca="false">'Tổng quan'!$C$5+(B7-1)*7</f>
        <v>46314</v>
      </c>
      <c r="D7" s="20" t="n">
        <f aca="false">C7+6</f>
        <v>46320</v>
      </c>
      <c r="E7" s="21" t="s">
        <v>96</v>
      </c>
      <c r="F7" s="15" t="s">
        <v>41</v>
      </c>
      <c r="G7" s="22" t="s">
        <v>42</v>
      </c>
      <c r="H7" s="10" t="s">
        <v>43</v>
      </c>
      <c r="I7" s="10" t="s">
        <v>38</v>
      </c>
      <c r="J7" s="11" t="s">
        <v>127</v>
      </c>
      <c r="K7" s="12" t="s">
        <v>128</v>
      </c>
      <c r="L7" s="12" t="s">
        <v>129</v>
      </c>
      <c r="M7" s="12" t="s">
        <v>130</v>
      </c>
      <c r="N7" s="12" t="s">
        <v>131</v>
      </c>
      <c r="O7" s="23" t="s">
        <v>102</v>
      </c>
      <c r="P7" s="24"/>
      <c r="Q7" s="24"/>
      <c r="R7" s="24"/>
    </row>
    <row r="8" customFormat="false" ht="79.5" hidden="false" customHeight="true" outlineLevel="0" collapsed="false">
      <c r="A8" s="19" t="s">
        <v>132</v>
      </c>
      <c r="B8" s="15" t="n">
        <v>1</v>
      </c>
      <c r="C8" s="20" t="n">
        <f aca="false">'Tổng quan'!$C$5+(B8-1)*7</f>
        <v>46314</v>
      </c>
      <c r="D8" s="20" t="n">
        <f aca="false">C8+6</f>
        <v>46320</v>
      </c>
      <c r="E8" s="21" t="s">
        <v>96</v>
      </c>
      <c r="F8" s="15" t="s">
        <v>46</v>
      </c>
      <c r="G8" s="22" t="s">
        <v>47</v>
      </c>
      <c r="H8" s="10" t="s">
        <v>48</v>
      </c>
      <c r="I8" s="10" t="s">
        <v>38</v>
      </c>
      <c r="J8" s="11" t="s">
        <v>133</v>
      </c>
      <c r="K8" s="12" t="s">
        <v>134</v>
      </c>
      <c r="L8" s="12" t="s">
        <v>135</v>
      </c>
      <c r="M8" s="12" t="s">
        <v>136</v>
      </c>
      <c r="N8" s="12" t="s">
        <v>137</v>
      </c>
      <c r="O8" s="23" t="s">
        <v>102</v>
      </c>
      <c r="P8" s="24"/>
      <c r="Q8" s="24"/>
      <c r="R8" s="24"/>
    </row>
    <row r="9" customFormat="false" ht="79.5" hidden="false" customHeight="true" outlineLevel="0" collapsed="false">
      <c r="A9" s="19" t="s">
        <v>138</v>
      </c>
      <c r="B9" s="15" t="n">
        <v>2</v>
      </c>
      <c r="C9" s="20" t="n">
        <f aca="false">'Tổng quan'!$C$5+(B9-1)*7</f>
        <v>46321</v>
      </c>
      <c r="D9" s="20" t="n">
        <f aca="false">C9+6</f>
        <v>46327</v>
      </c>
      <c r="E9" s="21" t="s">
        <v>139</v>
      </c>
      <c r="F9" s="15" t="s">
        <v>19</v>
      </c>
      <c r="G9" s="22" t="s">
        <v>20</v>
      </c>
      <c r="H9" s="7" t="s">
        <v>21</v>
      </c>
      <c r="I9" s="7" t="s">
        <v>21</v>
      </c>
      <c r="J9" s="8" t="s">
        <v>140</v>
      </c>
      <c r="K9" s="9" t="s">
        <v>141</v>
      </c>
      <c r="L9" s="9" t="s">
        <v>142</v>
      </c>
      <c r="M9" s="9" t="s">
        <v>143</v>
      </c>
      <c r="N9" s="9" t="s">
        <v>144</v>
      </c>
      <c r="O9" s="23" t="s">
        <v>102</v>
      </c>
      <c r="P9" s="24"/>
      <c r="Q9" s="24"/>
      <c r="R9" s="24"/>
    </row>
    <row r="10" customFormat="false" ht="79.5" hidden="false" customHeight="true" outlineLevel="0" collapsed="false">
      <c r="A10" s="19" t="s">
        <v>145</v>
      </c>
      <c r="B10" s="15" t="n">
        <v>2</v>
      </c>
      <c r="C10" s="20" t="n">
        <f aca="false">'Tổng quan'!$C$5+(B10-1)*7</f>
        <v>46321</v>
      </c>
      <c r="D10" s="20" t="n">
        <f aca="false">C10+6</f>
        <v>46327</v>
      </c>
      <c r="E10" s="21" t="s">
        <v>139</v>
      </c>
      <c r="F10" s="15" t="s">
        <v>24</v>
      </c>
      <c r="G10" s="22" t="s">
        <v>25</v>
      </c>
      <c r="H10" s="7" t="s">
        <v>21</v>
      </c>
      <c r="I10" s="7" t="s">
        <v>21</v>
      </c>
      <c r="J10" s="8" t="s">
        <v>146</v>
      </c>
      <c r="K10" s="9" t="s">
        <v>147</v>
      </c>
      <c r="L10" s="9" t="s">
        <v>148</v>
      </c>
      <c r="M10" s="9" t="s">
        <v>149</v>
      </c>
      <c r="N10" s="9" t="s">
        <v>150</v>
      </c>
      <c r="O10" s="23" t="s">
        <v>102</v>
      </c>
      <c r="P10" s="24"/>
      <c r="Q10" s="24"/>
      <c r="R10" s="24"/>
    </row>
    <row r="11" customFormat="false" ht="79.5" hidden="false" customHeight="true" outlineLevel="0" collapsed="false">
      <c r="A11" s="19" t="s">
        <v>151</v>
      </c>
      <c r="B11" s="15" t="n">
        <v>2</v>
      </c>
      <c r="C11" s="20" t="n">
        <f aca="false">'Tổng quan'!$C$5+(B11-1)*7</f>
        <v>46321</v>
      </c>
      <c r="D11" s="20" t="n">
        <f aca="false">C11+6</f>
        <v>46327</v>
      </c>
      <c r="E11" s="21" t="s">
        <v>139</v>
      </c>
      <c r="F11" s="15" t="s">
        <v>28</v>
      </c>
      <c r="G11" s="22" t="s">
        <v>29</v>
      </c>
      <c r="H11" s="7" t="s">
        <v>21</v>
      </c>
      <c r="I11" s="7" t="s">
        <v>21</v>
      </c>
      <c r="J11" s="8" t="s">
        <v>152</v>
      </c>
      <c r="K11" s="9" t="s">
        <v>153</v>
      </c>
      <c r="L11" s="9" t="s">
        <v>154</v>
      </c>
      <c r="M11" s="9" t="s">
        <v>155</v>
      </c>
      <c r="N11" s="9" t="s">
        <v>156</v>
      </c>
      <c r="O11" s="23" t="s">
        <v>102</v>
      </c>
      <c r="P11" s="24"/>
      <c r="Q11" s="24"/>
      <c r="R11" s="24"/>
    </row>
    <row r="12" customFormat="false" ht="79.5" hidden="false" customHeight="true" outlineLevel="0" collapsed="false">
      <c r="A12" s="19" t="s">
        <v>157</v>
      </c>
      <c r="B12" s="15" t="n">
        <v>2</v>
      </c>
      <c r="C12" s="20" t="n">
        <f aca="false">'Tổng quan'!$C$5+(B12-1)*7</f>
        <v>46321</v>
      </c>
      <c r="D12" s="20" t="n">
        <f aca="false">C12+6</f>
        <v>46327</v>
      </c>
      <c r="E12" s="21" t="s">
        <v>139</v>
      </c>
      <c r="F12" s="15" t="s">
        <v>32</v>
      </c>
      <c r="G12" s="22" t="s">
        <v>33</v>
      </c>
      <c r="H12" s="7" t="s">
        <v>21</v>
      </c>
      <c r="I12" s="7" t="s">
        <v>21</v>
      </c>
      <c r="J12" s="8" t="s">
        <v>158</v>
      </c>
      <c r="K12" s="9" t="s">
        <v>159</v>
      </c>
      <c r="L12" s="9" t="s">
        <v>160</v>
      </c>
      <c r="M12" s="9" t="s">
        <v>161</v>
      </c>
      <c r="N12" s="9" t="s">
        <v>162</v>
      </c>
      <c r="O12" s="23" t="s">
        <v>102</v>
      </c>
      <c r="P12" s="24"/>
      <c r="Q12" s="24"/>
      <c r="R12" s="24"/>
    </row>
    <row r="13" customFormat="false" ht="79.5" hidden="false" customHeight="true" outlineLevel="0" collapsed="false">
      <c r="A13" s="19" t="s">
        <v>163</v>
      </c>
      <c r="B13" s="15" t="n">
        <v>2</v>
      </c>
      <c r="C13" s="20" t="n">
        <f aca="false">'Tổng quan'!$C$5+(B13-1)*7</f>
        <v>46321</v>
      </c>
      <c r="D13" s="20" t="n">
        <f aca="false">C13+6</f>
        <v>46327</v>
      </c>
      <c r="E13" s="21" t="s">
        <v>139</v>
      </c>
      <c r="F13" s="15" t="s">
        <v>36</v>
      </c>
      <c r="G13" s="22" t="s">
        <v>37</v>
      </c>
      <c r="H13" s="10" t="s">
        <v>38</v>
      </c>
      <c r="I13" s="10" t="s">
        <v>38</v>
      </c>
      <c r="J13" s="11" t="s">
        <v>164</v>
      </c>
      <c r="K13" s="12" t="s">
        <v>165</v>
      </c>
      <c r="L13" s="12" t="s">
        <v>166</v>
      </c>
      <c r="M13" s="12" t="s">
        <v>167</v>
      </c>
      <c r="N13" s="12" t="s">
        <v>168</v>
      </c>
      <c r="O13" s="23" t="s">
        <v>102</v>
      </c>
      <c r="P13" s="24"/>
      <c r="Q13" s="24"/>
      <c r="R13" s="24"/>
    </row>
    <row r="14" customFormat="false" ht="79.5" hidden="false" customHeight="true" outlineLevel="0" collapsed="false">
      <c r="A14" s="19" t="s">
        <v>169</v>
      </c>
      <c r="B14" s="15" t="n">
        <v>2</v>
      </c>
      <c r="C14" s="20" t="n">
        <f aca="false">'Tổng quan'!$C$5+(B14-1)*7</f>
        <v>46321</v>
      </c>
      <c r="D14" s="20" t="n">
        <f aca="false">C14+6</f>
        <v>46327</v>
      </c>
      <c r="E14" s="21" t="s">
        <v>139</v>
      </c>
      <c r="F14" s="15" t="s">
        <v>41</v>
      </c>
      <c r="G14" s="22" t="s">
        <v>42</v>
      </c>
      <c r="H14" s="10" t="s">
        <v>43</v>
      </c>
      <c r="I14" s="10" t="s">
        <v>38</v>
      </c>
      <c r="J14" s="11" t="s">
        <v>170</v>
      </c>
      <c r="K14" s="12" t="s">
        <v>171</v>
      </c>
      <c r="L14" s="12" t="s">
        <v>172</v>
      </c>
      <c r="M14" s="12" t="s">
        <v>173</v>
      </c>
      <c r="N14" s="12" t="s">
        <v>174</v>
      </c>
      <c r="O14" s="23" t="s">
        <v>102</v>
      </c>
      <c r="P14" s="24"/>
      <c r="Q14" s="24"/>
      <c r="R14" s="24"/>
    </row>
    <row r="15" customFormat="false" ht="79.5" hidden="false" customHeight="true" outlineLevel="0" collapsed="false">
      <c r="A15" s="19" t="s">
        <v>175</v>
      </c>
      <c r="B15" s="15" t="n">
        <v>2</v>
      </c>
      <c r="C15" s="20" t="n">
        <f aca="false">'Tổng quan'!$C$5+(B15-1)*7</f>
        <v>46321</v>
      </c>
      <c r="D15" s="20" t="n">
        <f aca="false">C15+6</f>
        <v>46327</v>
      </c>
      <c r="E15" s="21" t="s">
        <v>139</v>
      </c>
      <c r="F15" s="15" t="s">
        <v>46</v>
      </c>
      <c r="G15" s="22" t="s">
        <v>47</v>
      </c>
      <c r="H15" s="10" t="s">
        <v>48</v>
      </c>
      <c r="I15" s="10" t="s">
        <v>38</v>
      </c>
      <c r="J15" s="11" t="s">
        <v>176</v>
      </c>
      <c r="K15" s="12" t="s">
        <v>177</v>
      </c>
      <c r="L15" s="12" t="s">
        <v>178</v>
      </c>
      <c r="M15" s="12" t="s">
        <v>179</v>
      </c>
      <c r="N15" s="12" t="s">
        <v>180</v>
      </c>
      <c r="O15" s="23" t="s">
        <v>102</v>
      </c>
      <c r="P15" s="24"/>
      <c r="Q15" s="24"/>
      <c r="R15" s="24"/>
    </row>
    <row r="16" customFormat="false" ht="79.5" hidden="false" customHeight="true" outlineLevel="0" collapsed="false">
      <c r="A16" s="19" t="s">
        <v>181</v>
      </c>
      <c r="B16" s="15" t="n">
        <v>3</v>
      </c>
      <c r="C16" s="20" t="n">
        <f aca="false">'Tổng quan'!$C$5+(B16-1)*7</f>
        <v>46328</v>
      </c>
      <c r="D16" s="20" t="n">
        <f aca="false">C16+6</f>
        <v>46334</v>
      </c>
      <c r="E16" s="21" t="s">
        <v>182</v>
      </c>
      <c r="F16" s="15" t="s">
        <v>19</v>
      </c>
      <c r="G16" s="22" t="s">
        <v>20</v>
      </c>
      <c r="H16" s="7" t="s">
        <v>21</v>
      </c>
      <c r="I16" s="7" t="s">
        <v>21</v>
      </c>
      <c r="J16" s="8" t="s">
        <v>183</v>
      </c>
      <c r="K16" s="9" t="s">
        <v>184</v>
      </c>
      <c r="L16" s="9" t="s">
        <v>185</v>
      </c>
      <c r="M16" s="9" t="s">
        <v>186</v>
      </c>
      <c r="N16" s="9" t="s">
        <v>187</v>
      </c>
      <c r="O16" s="23" t="s">
        <v>102</v>
      </c>
      <c r="P16" s="24"/>
      <c r="Q16" s="24"/>
      <c r="R16" s="24"/>
    </row>
    <row r="17" customFormat="false" ht="79.5" hidden="false" customHeight="true" outlineLevel="0" collapsed="false">
      <c r="A17" s="19" t="s">
        <v>188</v>
      </c>
      <c r="B17" s="15" t="n">
        <v>3</v>
      </c>
      <c r="C17" s="20" t="n">
        <f aca="false">'Tổng quan'!$C$5+(B17-1)*7</f>
        <v>46328</v>
      </c>
      <c r="D17" s="20" t="n">
        <f aca="false">C17+6</f>
        <v>46334</v>
      </c>
      <c r="E17" s="21" t="s">
        <v>182</v>
      </c>
      <c r="F17" s="15" t="s">
        <v>24</v>
      </c>
      <c r="G17" s="22" t="s">
        <v>25</v>
      </c>
      <c r="H17" s="7" t="s">
        <v>21</v>
      </c>
      <c r="I17" s="7" t="s">
        <v>21</v>
      </c>
      <c r="J17" s="8" t="s">
        <v>189</v>
      </c>
      <c r="K17" s="9" t="s">
        <v>190</v>
      </c>
      <c r="L17" s="9" t="s">
        <v>191</v>
      </c>
      <c r="M17" s="9" t="s">
        <v>192</v>
      </c>
      <c r="N17" s="9" t="s">
        <v>193</v>
      </c>
      <c r="O17" s="23" t="s">
        <v>102</v>
      </c>
      <c r="P17" s="24"/>
      <c r="Q17" s="24"/>
      <c r="R17" s="24"/>
    </row>
    <row r="18" customFormat="false" ht="79.5" hidden="false" customHeight="true" outlineLevel="0" collapsed="false">
      <c r="A18" s="19" t="s">
        <v>194</v>
      </c>
      <c r="B18" s="15" t="n">
        <v>3</v>
      </c>
      <c r="C18" s="20" t="n">
        <f aca="false">'Tổng quan'!$C$5+(B18-1)*7</f>
        <v>46328</v>
      </c>
      <c r="D18" s="20" t="n">
        <f aca="false">C18+6</f>
        <v>46334</v>
      </c>
      <c r="E18" s="21" t="s">
        <v>182</v>
      </c>
      <c r="F18" s="15" t="s">
        <v>28</v>
      </c>
      <c r="G18" s="22" t="s">
        <v>29</v>
      </c>
      <c r="H18" s="7" t="s">
        <v>21</v>
      </c>
      <c r="I18" s="7" t="s">
        <v>21</v>
      </c>
      <c r="J18" s="8" t="s">
        <v>195</v>
      </c>
      <c r="K18" s="9" t="s">
        <v>196</v>
      </c>
      <c r="L18" s="9" t="s">
        <v>197</v>
      </c>
      <c r="M18" s="9" t="s">
        <v>198</v>
      </c>
      <c r="N18" s="9" t="s">
        <v>199</v>
      </c>
      <c r="O18" s="23" t="s">
        <v>102</v>
      </c>
      <c r="P18" s="24"/>
      <c r="Q18" s="24"/>
      <c r="R18" s="24"/>
    </row>
    <row r="19" customFormat="false" ht="79.5" hidden="false" customHeight="true" outlineLevel="0" collapsed="false">
      <c r="A19" s="19" t="s">
        <v>200</v>
      </c>
      <c r="B19" s="15" t="n">
        <v>3</v>
      </c>
      <c r="C19" s="20" t="n">
        <f aca="false">'Tổng quan'!$C$5+(B19-1)*7</f>
        <v>46328</v>
      </c>
      <c r="D19" s="20" t="n">
        <f aca="false">C19+6</f>
        <v>46334</v>
      </c>
      <c r="E19" s="21" t="s">
        <v>182</v>
      </c>
      <c r="F19" s="15" t="s">
        <v>32</v>
      </c>
      <c r="G19" s="22" t="s">
        <v>33</v>
      </c>
      <c r="H19" s="7" t="s">
        <v>21</v>
      </c>
      <c r="I19" s="7" t="s">
        <v>21</v>
      </c>
      <c r="J19" s="8" t="s">
        <v>201</v>
      </c>
      <c r="K19" s="9" t="s">
        <v>202</v>
      </c>
      <c r="L19" s="9" t="s">
        <v>203</v>
      </c>
      <c r="M19" s="9" t="s">
        <v>192</v>
      </c>
      <c r="N19" s="9" t="s">
        <v>162</v>
      </c>
      <c r="O19" s="23" t="s">
        <v>102</v>
      </c>
      <c r="P19" s="24"/>
      <c r="Q19" s="24"/>
      <c r="R19" s="24"/>
    </row>
    <row r="20" customFormat="false" ht="79.5" hidden="false" customHeight="true" outlineLevel="0" collapsed="false">
      <c r="A20" s="19" t="s">
        <v>204</v>
      </c>
      <c r="B20" s="15" t="n">
        <v>3</v>
      </c>
      <c r="C20" s="20" t="n">
        <f aca="false">'Tổng quan'!$C$5+(B20-1)*7</f>
        <v>46328</v>
      </c>
      <c r="D20" s="20" t="n">
        <f aca="false">C20+6</f>
        <v>46334</v>
      </c>
      <c r="E20" s="21" t="s">
        <v>182</v>
      </c>
      <c r="F20" s="15" t="s">
        <v>36</v>
      </c>
      <c r="G20" s="22" t="s">
        <v>37</v>
      </c>
      <c r="H20" s="10" t="s">
        <v>38</v>
      </c>
      <c r="I20" s="10" t="s">
        <v>38</v>
      </c>
      <c r="J20" s="11" t="s">
        <v>205</v>
      </c>
      <c r="K20" s="12" t="s">
        <v>206</v>
      </c>
      <c r="L20" s="12" t="s">
        <v>207</v>
      </c>
      <c r="M20" s="12" t="s">
        <v>208</v>
      </c>
      <c r="N20" s="12" t="s">
        <v>209</v>
      </c>
      <c r="O20" s="23" t="s">
        <v>102</v>
      </c>
      <c r="P20" s="24"/>
      <c r="Q20" s="24"/>
      <c r="R20" s="24"/>
    </row>
    <row r="21" customFormat="false" ht="79.5" hidden="false" customHeight="true" outlineLevel="0" collapsed="false">
      <c r="A21" s="19" t="s">
        <v>210</v>
      </c>
      <c r="B21" s="15" t="n">
        <v>3</v>
      </c>
      <c r="C21" s="20" t="n">
        <f aca="false">'Tổng quan'!$C$5+(B21-1)*7</f>
        <v>46328</v>
      </c>
      <c r="D21" s="20" t="n">
        <f aca="false">C21+6</f>
        <v>46334</v>
      </c>
      <c r="E21" s="21" t="s">
        <v>182</v>
      </c>
      <c r="F21" s="15" t="s">
        <v>41</v>
      </c>
      <c r="G21" s="22" t="s">
        <v>42</v>
      </c>
      <c r="H21" s="10" t="s">
        <v>43</v>
      </c>
      <c r="I21" s="10" t="s">
        <v>38</v>
      </c>
      <c r="J21" s="11" t="s">
        <v>211</v>
      </c>
      <c r="K21" s="12" t="s">
        <v>212</v>
      </c>
      <c r="L21" s="12" t="s">
        <v>213</v>
      </c>
      <c r="M21" s="12" t="s">
        <v>214</v>
      </c>
      <c r="N21" s="12" t="s">
        <v>215</v>
      </c>
      <c r="O21" s="23" t="s">
        <v>102</v>
      </c>
      <c r="P21" s="24"/>
      <c r="Q21" s="24"/>
      <c r="R21" s="24"/>
    </row>
    <row r="22" customFormat="false" ht="79.5" hidden="false" customHeight="true" outlineLevel="0" collapsed="false">
      <c r="A22" s="19" t="s">
        <v>216</v>
      </c>
      <c r="B22" s="15" t="n">
        <v>3</v>
      </c>
      <c r="C22" s="20" t="n">
        <f aca="false">'Tổng quan'!$C$5+(B22-1)*7</f>
        <v>46328</v>
      </c>
      <c r="D22" s="20" t="n">
        <f aca="false">C22+6</f>
        <v>46334</v>
      </c>
      <c r="E22" s="21" t="s">
        <v>182</v>
      </c>
      <c r="F22" s="15" t="s">
        <v>46</v>
      </c>
      <c r="G22" s="22" t="s">
        <v>47</v>
      </c>
      <c r="H22" s="10" t="s">
        <v>48</v>
      </c>
      <c r="I22" s="10" t="s">
        <v>38</v>
      </c>
      <c r="J22" s="11" t="s">
        <v>217</v>
      </c>
      <c r="K22" s="12" t="s">
        <v>218</v>
      </c>
      <c r="L22" s="12" t="s">
        <v>219</v>
      </c>
      <c r="M22" s="12" t="s">
        <v>220</v>
      </c>
      <c r="N22" s="12" t="s">
        <v>221</v>
      </c>
      <c r="O22" s="23" t="s">
        <v>102</v>
      </c>
      <c r="P22" s="24"/>
      <c r="Q22" s="24"/>
      <c r="R22" s="24"/>
    </row>
    <row r="23" customFormat="false" ht="79.5" hidden="false" customHeight="true" outlineLevel="0" collapsed="false">
      <c r="A23" s="19" t="s">
        <v>222</v>
      </c>
      <c r="B23" s="15" t="n">
        <v>4</v>
      </c>
      <c r="C23" s="20" t="n">
        <f aca="false">'Tổng quan'!$C$5+(B23-1)*7</f>
        <v>46335</v>
      </c>
      <c r="D23" s="20" t="n">
        <f aca="false">C23+6</f>
        <v>46341</v>
      </c>
      <c r="E23" s="21" t="s">
        <v>223</v>
      </c>
      <c r="F23" s="15" t="s">
        <v>19</v>
      </c>
      <c r="G23" s="22" t="s">
        <v>20</v>
      </c>
      <c r="H23" s="7" t="s">
        <v>21</v>
      </c>
      <c r="I23" s="7" t="s">
        <v>21</v>
      </c>
      <c r="J23" s="8" t="s">
        <v>224</v>
      </c>
      <c r="K23" s="9" t="s">
        <v>225</v>
      </c>
      <c r="L23" s="9" t="s">
        <v>226</v>
      </c>
      <c r="M23" s="9" t="s">
        <v>227</v>
      </c>
      <c r="N23" s="9" t="s">
        <v>228</v>
      </c>
      <c r="O23" s="23" t="s">
        <v>102</v>
      </c>
      <c r="P23" s="24"/>
      <c r="Q23" s="24"/>
      <c r="R23" s="24"/>
    </row>
    <row r="24" customFormat="false" ht="79.5" hidden="false" customHeight="true" outlineLevel="0" collapsed="false">
      <c r="A24" s="19" t="s">
        <v>229</v>
      </c>
      <c r="B24" s="15" t="n">
        <v>4</v>
      </c>
      <c r="C24" s="20" t="n">
        <f aca="false">'Tổng quan'!$C$5+(B24-1)*7</f>
        <v>46335</v>
      </c>
      <c r="D24" s="20" t="n">
        <f aca="false">C24+6</f>
        <v>46341</v>
      </c>
      <c r="E24" s="21" t="s">
        <v>223</v>
      </c>
      <c r="F24" s="15" t="s">
        <v>24</v>
      </c>
      <c r="G24" s="22" t="s">
        <v>25</v>
      </c>
      <c r="H24" s="7" t="s">
        <v>21</v>
      </c>
      <c r="I24" s="7" t="s">
        <v>21</v>
      </c>
      <c r="J24" s="8" t="s">
        <v>230</v>
      </c>
      <c r="K24" s="9" t="s">
        <v>231</v>
      </c>
      <c r="L24" s="9" t="s">
        <v>232</v>
      </c>
      <c r="M24" s="9" t="s">
        <v>192</v>
      </c>
      <c r="N24" s="9" t="s">
        <v>233</v>
      </c>
      <c r="O24" s="23" t="s">
        <v>102</v>
      </c>
      <c r="P24" s="24"/>
      <c r="Q24" s="24"/>
      <c r="R24" s="24"/>
    </row>
    <row r="25" customFormat="false" ht="79.5" hidden="false" customHeight="true" outlineLevel="0" collapsed="false">
      <c r="A25" s="19" t="s">
        <v>234</v>
      </c>
      <c r="B25" s="15" t="n">
        <v>4</v>
      </c>
      <c r="C25" s="20" t="n">
        <f aca="false">'Tổng quan'!$C$5+(B25-1)*7</f>
        <v>46335</v>
      </c>
      <c r="D25" s="20" t="n">
        <f aca="false">C25+6</f>
        <v>46341</v>
      </c>
      <c r="E25" s="21" t="s">
        <v>223</v>
      </c>
      <c r="F25" s="15" t="s">
        <v>28</v>
      </c>
      <c r="G25" s="22" t="s">
        <v>29</v>
      </c>
      <c r="H25" s="7" t="s">
        <v>21</v>
      </c>
      <c r="I25" s="7" t="s">
        <v>21</v>
      </c>
      <c r="J25" s="8" t="s">
        <v>235</v>
      </c>
      <c r="K25" s="9" t="s">
        <v>236</v>
      </c>
      <c r="L25" s="9" t="s">
        <v>237</v>
      </c>
      <c r="M25" s="9" t="s">
        <v>198</v>
      </c>
      <c r="N25" s="9" t="s">
        <v>114</v>
      </c>
      <c r="O25" s="23" t="s">
        <v>102</v>
      </c>
      <c r="P25" s="24"/>
      <c r="Q25" s="24"/>
      <c r="R25" s="24"/>
    </row>
    <row r="26" customFormat="false" ht="79.5" hidden="false" customHeight="true" outlineLevel="0" collapsed="false">
      <c r="A26" s="19" t="s">
        <v>238</v>
      </c>
      <c r="B26" s="15" t="n">
        <v>4</v>
      </c>
      <c r="C26" s="20" t="n">
        <f aca="false">'Tổng quan'!$C$5+(B26-1)*7</f>
        <v>46335</v>
      </c>
      <c r="D26" s="20" t="n">
        <f aca="false">C26+6</f>
        <v>46341</v>
      </c>
      <c r="E26" s="21" t="s">
        <v>223</v>
      </c>
      <c r="F26" s="15" t="s">
        <v>32</v>
      </c>
      <c r="G26" s="22" t="s">
        <v>33</v>
      </c>
      <c r="H26" s="7" t="s">
        <v>21</v>
      </c>
      <c r="I26" s="7" t="s">
        <v>21</v>
      </c>
      <c r="J26" s="8" t="s">
        <v>239</v>
      </c>
      <c r="K26" s="9" t="s">
        <v>240</v>
      </c>
      <c r="L26" s="9" t="s">
        <v>241</v>
      </c>
      <c r="M26" s="9" t="s">
        <v>192</v>
      </c>
      <c r="N26" s="9" t="s">
        <v>242</v>
      </c>
      <c r="O26" s="23" t="s">
        <v>102</v>
      </c>
      <c r="P26" s="24"/>
      <c r="Q26" s="24"/>
      <c r="R26" s="24"/>
    </row>
    <row r="27" customFormat="false" ht="79.5" hidden="false" customHeight="true" outlineLevel="0" collapsed="false">
      <c r="A27" s="19" t="s">
        <v>243</v>
      </c>
      <c r="B27" s="15" t="n">
        <v>4</v>
      </c>
      <c r="C27" s="20" t="n">
        <f aca="false">'Tổng quan'!$C$5+(B27-1)*7</f>
        <v>46335</v>
      </c>
      <c r="D27" s="20" t="n">
        <f aca="false">C27+6</f>
        <v>46341</v>
      </c>
      <c r="E27" s="21" t="s">
        <v>223</v>
      </c>
      <c r="F27" s="15" t="s">
        <v>36</v>
      </c>
      <c r="G27" s="22" t="s">
        <v>37</v>
      </c>
      <c r="H27" s="10" t="s">
        <v>38</v>
      </c>
      <c r="I27" s="10" t="s">
        <v>38</v>
      </c>
      <c r="J27" s="11" t="s">
        <v>244</v>
      </c>
      <c r="K27" s="12" t="s">
        <v>245</v>
      </c>
      <c r="L27" s="12" t="s">
        <v>246</v>
      </c>
      <c r="M27" s="12" t="s">
        <v>214</v>
      </c>
      <c r="N27" s="12" t="s">
        <v>247</v>
      </c>
      <c r="O27" s="23" t="s">
        <v>102</v>
      </c>
      <c r="P27" s="24"/>
      <c r="Q27" s="24"/>
      <c r="R27" s="24"/>
    </row>
    <row r="28" customFormat="false" ht="79.5" hidden="false" customHeight="true" outlineLevel="0" collapsed="false">
      <c r="A28" s="19" t="s">
        <v>248</v>
      </c>
      <c r="B28" s="15" t="n">
        <v>4</v>
      </c>
      <c r="C28" s="20" t="n">
        <f aca="false">'Tổng quan'!$C$5+(B28-1)*7</f>
        <v>46335</v>
      </c>
      <c r="D28" s="20" t="n">
        <f aca="false">C28+6</f>
        <v>46341</v>
      </c>
      <c r="E28" s="21" t="s">
        <v>223</v>
      </c>
      <c r="F28" s="15" t="s">
        <v>41</v>
      </c>
      <c r="G28" s="22" t="s">
        <v>42</v>
      </c>
      <c r="H28" s="10" t="s">
        <v>43</v>
      </c>
      <c r="I28" s="10" t="s">
        <v>38</v>
      </c>
      <c r="J28" s="11" t="s">
        <v>249</v>
      </c>
      <c r="K28" s="12" t="s">
        <v>250</v>
      </c>
      <c r="L28" s="12" t="s">
        <v>251</v>
      </c>
      <c r="M28" s="12" t="s">
        <v>252</v>
      </c>
      <c r="N28" s="12" t="s">
        <v>253</v>
      </c>
      <c r="O28" s="23" t="s">
        <v>102</v>
      </c>
      <c r="P28" s="24"/>
      <c r="Q28" s="24"/>
      <c r="R28" s="24"/>
    </row>
    <row r="29" customFormat="false" ht="79.5" hidden="false" customHeight="true" outlineLevel="0" collapsed="false">
      <c r="A29" s="19" t="s">
        <v>254</v>
      </c>
      <c r="B29" s="15" t="n">
        <v>4</v>
      </c>
      <c r="C29" s="20" t="n">
        <f aca="false">'Tổng quan'!$C$5+(B29-1)*7</f>
        <v>46335</v>
      </c>
      <c r="D29" s="20" t="n">
        <f aca="false">C29+6</f>
        <v>46341</v>
      </c>
      <c r="E29" s="21" t="s">
        <v>223</v>
      </c>
      <c r="F29" s="15" t="s">
        <v>46</v>
      </c>
      <c r="G29" s="22" t="s">
        <v>47</v>
      </c>
      <c r="H29" s="10" t="s">
        <v>48</v>
      </c>
      <c r="I29" s="10" t="s">
        <v>38</v>
      </c>
      <c r="J29" s="11" t="s">
        <v>255</v>
      </c>
      <c r="K29" s="12" t="s">
        <v>256</v>
      </c>
      <c r="L29" s="12" t="s">
        <v>257</v>
      </c>
      <c r="M29" s="12" t="s">
        <v>258</v>
      </c>
      <c r="N29" s="12" t="s">
        <v>259</v>
      </c>
      <c r="O29" s="23" t="s">
        <v>102</v>
      </c>
      <c r="P29" s="24"/>
      <c r="Q29" s="24"/>
      <c r="R29" s="24"/>
    </row>
    <row r="30" customFormat="false" ht="79.5" hidden="false" customHeight="true" outlineLevel="0" collapsed="false">
      <c r="A30" s="19" t="s">
        <v>260</v>
      </c>
      <c r="B30" s="15" t="n">
        <v>5</v>
      </c>
      <c r="C30" s="20" t="n">
        <f aca="false">'Tổng quan'!$C$5+(B30-1)*7</f>
        <v>46342</v>
      </c>
      <c r="D30" s="20" t="n">
        <f aca="false">C30+6</f>
        <v>46348</v>
      </c>
      <c r="E30" s="21" t="s">
        <v>261</v>
      </c>
      <c r="F30" s="15" t="s">
        <v>19</v>
      </c>
      <c r="G30" s="22" t="s">
        <v>20</v>
      </c>
      <c r="H30" s="7" t="s">
        <v>21</v>
      </c>
      <c r="I30" s="7" t="s">
        <v>21</v>
      </c>
      <c r="J30" s="8" t="s">
        <v>262</v>
      </c>
      <c r="K30" s="9" t="s">
        <v>263</v>
      </c>
      <c r="L30" s="9" t="s">
        <v>264</v>
      </c>
      <c r="M30" s="9" t="s">
        <v>265</v>
      </c>
      <c r="N30" s="9" t="s">
        <v>266</v>
      </c>
      <c r="O30" s="23" t="s">
        <v>102</v>
      </c>
      <c r="P30" s="24"/>
      <c r="Q30" s="24"/>
      <c r="R30" s="24"/>
    </row>
    <row r="31" customFormat="false" ht="79.5" hidden="false" customHeight="true" outlineLevel="0" collapsed="false">
      <c r="A31" s="19" t="s">
        <v>267</v>
      </c>
      <c r="B31" s="15" t="n">
        <v>5</v>
      </c>
      <c r="C31" s="20" t="n">
        <f aca="false">'Tổng quan'!$C$5+(B31-1)*7</f>
        <v>46342</v>
      </c>
      <c r="D31" s="20" t="n">
        <f aca="false">C31+6</f>
        <v>46348</v>
      </c>
      <c r="E31" s="21" t="s">
        <v>261</v>
      </c>
      <c r="F31" s="15" t="s">
        <v>24</v>
      </c>
      <c r="G31" s="22" t="s">
        <v>25</v>
      </c>
      <c r="H31" s="7" t="s">
        <v>21</v>
      </c>
      <c r="I31" s="7" t="s">
        <v>21</v>
      </c>
      <c r="J31" s="8" t="s">
        <v>268</v>
      </c>
      <c r="K31" s="9" t="s">
        <v>269</v>
      </c>
      <c r="L31" s="9" t="s">
        <v>270</v>
      </c>
      <c r="M31" s="9" t="s">
        <v>192</v>
      </c>
      <c r="N31" s="9" t="s">
        <v>271</v>
      </c>
      <c r="O31" s="23" t="s">
        <v>102</v>
      </c>
      <c r="P31" s="24"/>
      <c r="Q31" s="24"/>
      <c r="R31" s="24"/>
    </row>
    <row r="32" customFormat="false" ht="79.5" hidden="false" customHeight="true" outlineLevel="0" collapsed="false">
      <c r="A32" s="19" t="s">
        <v>272</v>
      </c>
      <c r="B32" s="15" t="n">
        <v>5</v>
      </c>
      <c r="C32" s="20" t="n">
        <f aca="false">'Tổng quan'!$C$5+(B32-1)*7</f>
        <v>46342</v>
      </c>
      <c r="D32" s="20" t="n">
        <f aca="false">C32+6</f>
        <v>46348</v>
      </c>
      <c r="E32" s="21" t="s">
        <v>261</v>
      </c>
      <c r="F32" s="15" t="s">
        <v>28</v>
      </c>
      <c r="G32" s="22" t="s">
        <v>29</v>
      </c>
      <c r="H32" s="7" t="s">
        <v>21</v>
      </c>
      <c r="I32" s="7" t="s">
        <v>21</v>
      </c>
      <c r="J32" s="8" t="s">
        <v>273</v>
      </c>
      <c r="K32" s="9" t="s">
        <v>274</v>
      </c>
      <c r="L32" s="9" t="s">
        <v>275</v>
      </c>
      <c r="M32" s="9" t="s">
        <v>276</v>
      </c>
      <c r="N32" s="9" t="s">
        <v>277</v>
      </c>
      <c r="O32" s="23" t="s">
        <v>102</v>
      </c>
      <c r="P32" s="24"/>
      <c r="Q32" s="24"/>
      <c r="R32" s="24"/>
    </row>
    <row r="33" customFormat="false" ht="79.5" hidden="false" customHeight="true" outlineLevel="0" collapsed="false">
      <c r="A33" s="19" t="s">
        <v>278</v>
      </c>
      <c r="B33" s="15" t="n">
        <v>5</v>
      </c>
      <c r="C33" s="20" t="n">
        <f aca="false">'Tổng quan'!$C$5+(B33-1)*7</f>
        <v>46342</v>
      </c>
      <c r="D33" s="20" t="n">
        <f aca="false">C33+6</f>
        <v>46348</v>
      </c>
      <c r="E33" s="21" t="s">
        <v>261</v>
      </c>
      <c r="F33" s="15" t="s">
        <v>32</v>
      </c>
      <c r="G33" s="22" t="s">
        <v>33</v>
      </c>
      <c r="H33" s="7" t="s">
        <v>21</v>
      </c>
      <c r="I33" s="7" t="s">
        <v>21</v>
      </c>
      <c r="J33" s="8" t="s">
        <v>279</v>
      </c>
      <c r="K33" s="9" t="s">
        <v>280</v>
      </c>
      <c r="L33" s="9" t="s">
        <v>281</v>
      </c>
      <c r="M33" s="9" t="s">
        <v>282</v>
      </c>
      <c r="N33" s="9" t="s">
        <v>162</v>
      </c>
      <c r="O33" s="23" t="s">
        <v>102</v>
      </c>
      <c r="P33" s="24"/>
      <c r="Q33" s="24"/>
      <c r="R33" s="24"/>
    </row>
    <row r="34" customFormat="false" ht="79.5" hidden="false" customHeight="true" outlineLevel="0" collapsed="false">
      <c r="A34" s="19" t="s">
        <v>283</v>
      </c>
      <c r="B34" s="15" t="n">
        <v>5</v>
      </c>
      <c r="C34" s="20" t="n">
        <f aca="false">'Tổng quan'!$C$5+(B34-1)*7</f>
        <v>46342</v>
      </c>
      <c r="D34" s="20" t="n">
        <f aca="false">C34+6</f>
        <v>46348</v>
      </c>
      <c r="E34" s="21" t="s">
        <v>261</v>
      </c>
      <c r="F34" s="15" t="s">
        <v>36</v>
      </c>
      <c r="G34" s="22" t="s">
        <v>37</v>
      </c>
      <c r="H34" s="10" t="s">
        <v>38</v>
      </c>
      <c r="I34" s="10" t="s">
        <v>38</v>
      </c>
      <c r="J34" s="11" t="s">
        <v>284</v>
      </c>
      <c r="K34" s="12" t="s">
        <v>285</v>
      </c>
      <c r="L34" s="12" t="s">
        <v>286</v>
      </c>
      <c r="M34" s="12" t="s">
        <v>287</v>
      </c>
      <c r="N34" s="12" t="s">
        <v>288</v>
      </c>
      <c r="O34" s="23" t="s">
        <v>102</v>
      </c>
      <c r="P34" s="24"/>
      <c r="Q34" s="24"/>
      <c r="R34" s="24"/>
    </row>
    <row r="35" customFormat="false" ht="79.5" hidden="false" customHeight="true" outlineLevel="0" collapsed="false">
      <c r="A35" s="19" t="s">
        <v>289</v>
      </c>
      <c r="B35" s="15" t="n">
        <v>5</v>
      </c>
      <c r="C35" s="20" t="n">
        <f aca="false">'Tổng quan'!$C$5+(B35-1)*7</f>
        <v>46342</v>
      </c>
      <c r="D35" s="20" t="n">
        <f aca="false">C35+6</f>
        <v>46348</v>
      </c>
      <c r="E35" s="21" t="s">
        <v>261</v>
      </c>
      <c r="F35" s="15" t="s">
        <v>41</v>
      </c>
      <c r="G35" s="22" t="s">
        <v>42</v>
      </c>
      <c r="H35" s="10" t="s">
        <v>43</v>
      </c>
      <c r="I35" s="10" t="s">
        <v>38</v>
      </c>
      <c r="J35" s="11" t="s">
        <v>290</v>
      </c>
      <c r="K35" s="12" t="s">
        <v>291</v>
      </c>
      <c r="L35" s="12" t="s">
        <v>292</v>
      </c>
      <c r="M35" s="12" t="s">
        <v>293</v>
      </c>
      <c r="N35" s="12" t="s">
        <v>294</v>
      </c>
      <c r="O35" s="23" t="s">
        <v>102</v>
      </c>
      <c r="P35" s="24"/>
      <c r="Q35" s="24"/>
      <c r="R35" s="24"/>
    </row>
    <row r="36" customFormat="false" ht="79.5" hidden="false" customHeight="true" outlineLevel="0" collapsed="false">
      <c r="A36" s="19" t="s">
        <v>295</v>
      </c>
      <c r="B36" s="15" t="n">
        <v>5</v>
      </c>
      <c r="C36" s="20" t="n">
        <f aca="false">'Tổng quan'!$C$5+(B36-1)*7</f>
        <v>46342</v>
      </c>
      <c r="D36" s="20" t="n">
        <f aca="false">C36+6</f>
        <v>46348</v>
      </c>
      <c r="E36" s="21" t="s">
        <v>261</v>
      </c>
      <c r="F36" s="15" t="s">
        <v>46</v>
      </c>
      <c r="G36" s="22" t="s">
        <v>47</v>
      </c>
      <c r="H36" s="10" t="s">
        <v>48</v>
      </c>
      <c r="I36" s="10" t="s">
        <v>38</v>
      </c>
      <c r="J36" s="11" t="s">
        <v>296</v>
      </c>
      <c r="K36" s="12" t="s">
        <v>297</v>
      </c>
      <c r="L36" s="12" t="s">
        <v>298</v>
      </c>
      <c r="M36" s="12" t="s">
        <v>299</v>
      </c>
      <c r="N36" s="12" t="s">
        <v>300</v>
      </c>
      <c r="O36" s="23" t="s">
        <v>102</v>
      </c>
      <c r="P36" s="24"/>
      <c r="Q36" s="24"/>
      <c r="R36" s="24"/>
    </row>
    <row r="37" customFormat="false" ht="79.5" hidden="false" customHeight="true" outlineLevel="0" collapsed="false">
      <c r="A37" s="19" t="s">
        <v>301</v>
      </c>
      <c r="B37" s="15" t="n">
        <v>6</v>
      </c>
      <c r="C37" s="20" t="n">
        <f aca="false">'Tổng quan'!$C$5+(B37-1)*7</f>
        <v>46349</v>
      </c>
      <c r="D37" s="20" t="n">
        <f aca="false">C37+6</f>
        <v>46355</v>
      </c>
      <c r="E37" s="21" t="s">
        <v>302</v>
      </c>
      <c r="F37" s="15" t="s">
        <v>19</v>
      </c>
      <c r="G37" s="22" t="s">
        <v>20</v>
      </c>
      <c r="H37" s="7" t="s">
        <v>21</v>
      </c>
      <c r="I37" s="7" t="s">
        <v>21</v>
      </c>
      <c r="J37" s="8" t="s">
        <v>303</v>
      </c>
      <c r="K37" s="9" t="s">
        <v>304</v>
      </c>
      <c r="L37" s="9" t="s">
        <v>305</v>
      </c>
      <c r="M37" s="9" t="s">
        <v>306</v>
      </c>
      <c r="N37" s="9" t="s">
        <v>187</v>
      </c>
      <c r="O37" s="23" t="s">
        <v>102</v>
      </c>
      <c r="P37" s="24"/>
      <c r="Q37" s="24"/>
      <c r="R37" s="24"/>
    </row>
    <row r="38" customFormat="false" ht="79.5" hidden="false" customHeight="true" outlineLevel="0" collapsed="false">
      <c r="A38" s="19" t="s">
        <v>307</v>
      </c>
      <c r="B38" s="15" t="n">
        <v>6</v>
      </c>
      <c r="C38" s="20" t="n">
        <f aca="false">'Tổng quan'!$C$5+(B38-1)*7</f>
        <v>46349</v>
      </c>
      <c r="D38" s="20" t="n">
        <f aca="false">C38+6</f>
        <v>46355</v>
      </c>
      <c r="E38" s="21" t="s">
        <v>302</v>
      </c>
      <c r="F38" s="15" t="s">
        <v>24</v>
      </c>
      <c r="G38" s="22" t="s">
        <v>25</v>
      </c>
      <c r="H38" s="7" t="s">
        <v>21</v>
      </c>
      <c r="I38" s="7" t="s">
        <v>21</v>
      </c>
      <c r="J38" s="8" t="s">
        <v>308</v>
      </c>
      <c r="K38" s="9" t="s">
        <v>309</v>
      </c>
      <c r="L38" s="9" t="s">
        <v>310</v>
      </c>
      <c r="M38" s="9" t="s">
        <v>311</v>
      </c>
      <c r="N38" s="9" t="s">
        <v>312</v>
      </c>
      <c r="O38" s="23" t="s">
        <v>102</v>
      </c>
      <c r="P38" s="24"/>
      <c r="Q38" s="24"/>
      <c r="R38" s="24"/>
    </row>
    <row r="39" customFormat="false" ht="79.5" hidden="false" customHeight="true" outlineLevel="0" collapsed="false">
      <c r="A39" s="19" t="s">
        <v>313</v>
      </c>
      <c r="B39" s="15" t="n">
        <v>6</v>
      </c>
      <c r="C39" s="20" t="n">
        <f aca="false">'Tổng quan'!$C$5+(B39-1)*7</f>
        <v>46349</v>
      </c>
      <c r="D39" s="20" t="n">
        <f aca="false">C39+6</f>
        <v>46355</v>
      </c>
      <c r="E39" s="21" t="s">
        <v>302</v>
      </c>
      <c r="F39" s="15" t="s">
        <v>28</v>
      </c>
      <c r="G39" s="22" t="s">
        <v>29</v>
      </c>
      <c r="H39" s="7" t="s">
        <v>21</v>
      </c>
      <c r="I39" s="7" t="s">
        <v>21</v>
      </c>
      <c r="J39" s="8" t="s">
        <v>314</v>
      </c>
      <c r="K39" s="9" t="s">
        <v>315</v>
      </c>
      <c r="L39" s="9" t="s">
        <v>316</v>
      </c>
      <c r="M39" s="9" t="s">
        <v>317</v>
      </c>
      <c r="N39" s="9" t="s">
        <v>277</v>
      </c>
      <c r="O39" s="23" t="s">
        <v>102</v>
      </c>
      <c r="P39" s="24"/>
      <c r="Q39" s="24"/>
      <c r="R39" s="24"/>
    </row>
    <row r="40" customFormat="false" ht="79.5" hidden="false" customHeight="true" outlineLevel="0" collapsed="false">
      <c r="A40" s="19" t="s">
        <v>318</v>
      </c>
      <c r="B40" s="15" t="n">
        <v>6</v>
      </c>
      <c r="C40" s="20" t="n">
        <f aca="false">'Tổng quan'!$C$5+(B40-1)*7</f>
        <v>46349</v>
      </c>
      <c r="D40" s="20" t="n">
        <f aca="false">C40+6</f>
        <v>46355</v>
      </c>
      <c r="E40" s="21" t="s">
        <v>302</v>
      </c>
      <c r="F40" s="15" t="s">
        <v>32</v>
      </c>
      <c r="G40" s="22" t="s">
        <v>33</v>
      </c>
      <c r="H40" s="7" t="s">
        <v>21</v>
      </c>
      <c r="I40" s="7" t="s">
        <v>21</v>
      </c>
      <c r="J40" s="8" t="s">
        <v>319</v>
      </c>
      <c r="K40" s="9" t="s">
        <v>320</v>
      </c>
      <c r="L40" s="9" t="s">
        <v>321</v>
      </c>
      <c r="M40" s="9" t="s">
        <v>322</v>
      </c>
      <c r="N40" s="9" t="s">
        <v>323</v>
      </c>
      <c r="O40" s="23" t="s">
        <v>102</v>
      </c>
      <c r="P40" s="24"/>
      <c r="Q40" s="24"/>
      <c r="R40" s="24"/>
    </row>
    <row r="41" customFormat="false" ht="79.5" hidden="false" customHeight="true" outlineLevel="0" collapsed="false">
      <c r="A41" s="19" t="s">
        <v>324</v>
      </c>
      <c r="B41" s="15" t="n">
        <v>6</v>
      </c>
      <c r="C41" s="20" t="n">
        <f aca="false">'Tổng quan'!$C$5+(B41-1)*7</f>
        <v>46349</v>
      </c>
      <c r="D41" s="20" t="n">
        <f aca="false">C41+6</f>
        <v>46355</v>
      </c>
      <c r="E41" s="21" t="s">
        <v>302</v>
      </c>
      <c r="F41" s="15" t="s">
        <v>36</v>
      </c>
      <c r="G41" s="22" t="s">
        <v>37</v>
      </c>
      <c r="H41" s="10" t="s">
        <v>38</v>
      </c>
      <c r="I41" s="10" t="s">
        <v>38</v>
      </c>
      <c r="J41" s="11" t="s">
        <v>325</v>
      </c>
      <c r="K41" s="12" t="s">
        <v>326</v>
      </c>
      <c r="L41" s="12" t="s">
        <v>327</v>
      </c>
      <c r="M41" s="12" t="s">
        <v>328</v>
      </c>
      <c r="N41" s="12" t="s">
        <v>329</v>
      </c>
      <c r="O41" s="23" t="s">
        <v>102</v>
      </c>
      <c r="P41" s="24"/>
      <c r="Q41" s="24"/>
      <c r="R41" s="24"/>
    </row>
    <row r="42" customFormat="false" ht="79.5" hidden="false" customHeight="true" outlineLevel="0" collapsed="false">
      <c r="A42" s="19" t="s">
        <v>330</v>
      </c>
      <c r="B42" s="15" t="n">
        <v>6</v>
      </c>
      <c r="C42" s="20" t="n">
        <f aca="false">'Tổng quan'!$C$5+(B42-1)*7</f>
        <v>46349</v>
      </c>
      <c r="D42" s="20" t="n">
        <f aca="false">C42+6</f>
        <v>46355</v>
      </c>
      <c r="E42" s="21" t="s">
        <v>302</v>
      </c>
      <c r="F42" s="15" t="s">
        <v>41</v>
      </c>
      <c r="G42" s="22" t="s">
        <v>42</v>
      </c>
      <c r="H42" s="10" t="s">
        <v>43</v>
      </c>
      <c r="I42" s="10" t="s">
        <v>38</v>
      </c>
      <c r="J42" s="11" t="s">
        <v>331</v>
      </c>
      <c r="K42" s="12" t="s">
        <v>332</v>
      </c>
      <c r="L42" s="12" t="s">
        <v>333</v>
      </c>
      <c r="M42" s="12" t="s">
        <v>334</v>
      </c>
      <c r="N42" s="12" t="s">
        <v>335</v>
      </c>
      <c r="O42" s="23" t="s">
        <v>102</v>
      </c>
      <c r="P42" s="24"/>
      <c r="Q42" s="24"/>
      <c r="R42" s="24"/>
    </row>
    <row r="43" customFormat="false" ht="79.5" hidden="false" customHeight="true" outlineLevel="0" collapsed="false">
      <c r="A43" s="19" t="s">
        <v>336</v>
      </c>
      <c r="B43" s="15" t="n">
        <v>6</v>
      </c>
      <c r="C43" s="20" t="n">
        <f aca="false">'Tổng quan'!$C$5+(B43-1)*7</f>
        <v>46349</v>
      </c>
      <c r="D43" s="20" t="n">
        <f aca="false">C43+6</f>
        <v>46355</v>
      </c>
      <c r="E43" s="21" t="s">
        <v>302</v>
      </c>
      <c r="F43" s="15" t="s">
        <v>46</v>
      </c>
      <c r="G43" s="22" t="s">
        <v>47</v>
      </c>
      <c r="H43" s="10" t="s">
        <v>48</v>
      </c>
      <c r="I43" s="10" t="s">
        <v>38</v>
      </c>
      <c r="J43" s="11" t="s">
        <v>337</v>
      </c>
      <c r="K43" s="12" t="s">
        <v>338</v>
      </c>
      <c r="L43" s="12" t="s">
        <v>339</v>
      </c>
      <c r="M43" s="12" t="s">
        <v>340</v>
      </c>
      <c r="N43" s="12" t="s">
        <v>341</v>
      </c>
      <c r="O43" s="23" t="s">
        <v>102</v>
      </c>
      <c r="P43" s="24"/>
      <c r="Q43" s="24"/>
      <c r="R43" s="24"/>
    </row>
    <row r="44" customFormat="false" ht="79.5" hidden="false" customHeight="true" outlineLevel="0" collapsed="false">
      <c r="A44" s="19" t="s">
        <v>342</v>
      </c>
      <c r="B44" s="15" t="n">
        <v>7</v>
      </c>
      <c r="C44" s="20" t="n">
        <f aca="false">'Tổng quan'!$C$5+(B44-1)*7</f>
        <v>46356</v>
      </c>
      <c r="D44" s="20" t="n">
        <f aca="false">C44+6</f>
        <v>46362</v>
      </c>
      <c r="E44" s="21" t="s">
        <v>343</v>
      </c>
      <c r="F44" s="15" t="s">
        <v>19</v>
      </c>
      <c r="G44" s="22" t="s">
        <v>20</v>
      </c>
      <c r="H44" s="7" t="s">
        <v>21</v>
      </c>
      <c r="I44" s="7" t="s">
        <v>21</v>
      </c>
      <c r="J44" s="8" t="s">
        <v>344</v>
      </c>
      <c r="K44" s="9" t="s">
        <v>345</v>
      </c>
      <c r="L44" s="9" t="s">
        <v>346</v>
      </c>
      <c r="M44" s="9" t="s">
        <v>347</v>
      </c>
      <c r="N44" s="9" t="s">
        <v>266</v>
      </c>
      <c r="O44" s="23" t="s">
        <v>102</v>
      </c>
      <c r="P44" s="24"/>
      <c r="Q44" s="24"/>
      <c r="R44" s="24"/>
    </row>
    <row r="45" customFormat="false" ht="79.5" hidden="false" customHeight="true" outlineLevel="0" collapsed="false">
      <c r="A45" s="19" t="s">
        <v>348</v>
      </c>
      <c r="B45" s="15" t="n">
        <v>7</v>
      </c>
      <c r="C45" s="20" t="n">
        <f aca="false">'Tổng quan'!$C$5+(B45-1)*7</f>
        <v>46356</v>
      </c>
      <c r="D45" s="20" t="n">
        <f aca="false">C45+6</f>
        <v>46362</v>
      </c>
      <c r="E45" s="21" t="s">
        <v>343</v>
      </c>
      <c r="F45" s="15" t="s">
        <v>24</v>
      </c>
      <c r="G45" s="22" t="s">
        <v>25</v>
      </c>
      <c r="H45" s="7" t="s">
        <v>21</v>
      </c>
      <c r="I45" s="7" t="s">
        <v>21</v>
      </c>
      <c r="J45" s="8" t="s">
        <v>349</v>
      </c>
      <c r="K45" s="9" t="s">
        <v>350</v>
      </c>
      <c r="L45" s="9" t="s">
        <v>351</v>
      </c>
      <c r="M45" s="9" t="s">
        <v>352</v>
      </c>
      <c r="N45" s="9" t="s">
        <v>353</v>
      </c>
      <c r="O45" s="23" t="s">
        <v>102</v>
      </c>
      <c r="P45" s="24"/>
      <c r="Q45" s="24"/>
      <c r="R45" s="24"/>
    </row>
    <row r="46" customFormat="false" ht="79.5" hidden="false" customHeight="true" outlineLevel="0" collapsed="false">
      <c r="A46" s="19" t="s">
        <v>354</v>
      </c>
      <c r="B46" s="15" t="n">
        <v>7</v>
      </c>
      <c r="C46" s="20" t="n">
        <f aca="false">'Tổng quan'!$C$5+(B46-1)*7</f>
        <v>46356</v>
      </c>
      <c r="D46" s="20" t="n">
        <f aca="false">C46+6</f>
        <v>46362</v>
      </c>
      <c r="E46" s="21" t="s">
        <v>343</v>
      </c>
      <c r="F46" s="15" t="s">
        <v>28</v>
      </c>
      <c r="G46" s="22" t="s">
        <v>29</v>
      </c>
      <c r="H46" s="7" t="s">
        <v>21</v>
      </c>
      <c r="I46" s="7" t="s">
        <v>21</v>
      </c>
      <c r="J46" s="8" t="s">
        <v>355</v>
      </c>
      <c r="K46" s="9" t="s">
        <v>356</v>
      </c>
      <c r="L46" s="9" t="s">
        <v>357</v>
      </c>
      <c r="M46" s="9" t="s">
        <v>358</v>
      </c>
      <c r="N46" s="9" t="s">
        <v>277</v>
      </c>
      <c r="O46" s="23" t="s">
        <v>102</v>
      </c>
      <c r="P46" s="24"/>
      <c r="Q46" s="24"/>
      <c r="R46" s="24"/>
    </row>
    <row r="47" customFormat="false" ht="79.5" hidden="false" customHeight="true" outlineLevel="0" collapsed="false">
      <c r="A47" s="19" t="s">
        <v>359</v>
      </c>
      <c r="B47" s="15" t="n">
        <v>7</v>
      </c>
      <c r="C47" s="20" t="n">
        <f aca="false">'Tổng quan'!$C$5+(B47-1)*7</f>
        <v>46356</v>
      </c>
      <c r="D47" s="20" t="n">
        <f aca="false">C47+6</f>
        <v>46362</v>
      </c>
      <c r="E47" s="21" t="s">
        <v>343</v>
      </c>
      <c r="F47" s="15" t="s">
        <v>32</v>
      </c>
      <c r="G47" s="22" t="s">
        <v>33</v>
      </c>
      <c r="H47" s="7" t="s">
        <v>21</v>
      </c>
      <c r="I47" s="7" t="s">
        <v>21</v>
      </c>
      <c r="J47" s="8" t="s">
        <v>360</v>
      </c>
      <c r="K47" s="9" t="s">
        <v>361</v>
      </c>
      <c r="L47" s="9" t="s">
        <v>362</v>
      </c>
      <c r="M47" s="9" t="s">
        <v>363</v>
      </c>
      <c r="N47" s="9" t="s">
        <v>323</v>
      </c>
      <c r="O47" s="23" t="s">
        <v>102</v>
      </c>
      <c r="P47" s="24"/>
      <c r="Q47" s="24"/>
      <c r="R47" s="24"/>
    </row>
    <row r="48" customFormat="false" ht="79.5" hidden="false" customHeight="true" outlineLevel="0" collapsed="false">
      <c r="A48" s="19" t="s">
        <v>364</v>
      </c>
      <c r="B48" s="15" t="n">
        <v>7</v>
      </c>
      <c r="C48" s="20" t="n">
        <f aca="false">'Tổng quan'!$C$5+(B48-1)*7</f>
        <v>46356</v>
      </c>
      <c r="D48" s="20" t="n">
        <f aca="false">C48+6</f>
        <v>46362</v>
      </c>
      <c r="E48" s="21" t="s">
        <v>343</v>
      </c>
      <c r="F48" s="15" t="s">
        <v>36</v>
      </c>
      <c r="G48" s="22" t="s">
        <v>37</v>
      </c>
      <c r="H48" s="10" t="s">
        <v>38</v>
      </c>
      <c r="I48" s="10" t="s">
        <v>38</v>
      </c>
      <c r="J48" s="11" t="s">
        <v>365</v>
      </c>
      <c r="K48" s="12" t="s">
        <v>366</v>
      </c>
      <c r="L48" s="12" t="s">
        <v>367</v>
      </c>
      <c r="M48" s="12" t="s">
        <v>368</v>
      </c>
      <c r="N48" s="12" t="s">
        <v>369</v>
      </c>
      <c r="O48" s="23" t="s">
        <v>102</v>
      </c>
      <c r="P48" s="24"/>
      <c r="Q48" s="24"/>
      <c r="R48" s="24"/>
    </row>
    <row r="49" customFormat="false" ht="79.5" hidden="false" customHeight="true" outlineLevel="0" collapsed="false">
      <c r="A49" s="19" t="s">
        <v>370</v>
      </c>
      <c r="B49" s="15" t="n">
        <v>7</v>
      </c>
      <c r="C49" s="20" t="n">
        <f aca="false">'Tổng quan'!$C$5+(B49-1)*7</f>
        <v>46356</v>
      </c>
      <c r="D49" s="20" t="n">
        <f aca="false">C49+6</f>
        <v>46362</v>
      </c>
      <c r="E49" s="21" t="s">
        <v>343</v>
      </c>
      <c r="F49" s="15" t="s">
        <v>41</v>
      </c>
      <c r="G49" s="22" t="s">
        <v>42</v>
      </c>
      <c r="H49" s="10" t="s">
        <v>43</v>
      </c>
      <c r="I49" s="10" t="s">
        <v>38</v>
      </c>
      <c r="J49" s="11" t="s">
        <v>371</v>
      </c>
      <c r="K49" s="12" t="s">
        <v>372</v>
      </c>
      <c r="L49" s="12" t="s">
        <v>373</v>
      </c>
      <c r="M49" s="12" t="s">
        <v>374</v>
      </c>
      <c r="N49" s="12" t="s">
        <v>375</v>
      </c>
      <c r="O49" s="23" t="s">
        <v>102</v>
      </c>
      <c r="P49" s="24"/>
      <c r="Q49" s="24"/>
      <c r="R49" s="24"/>
    </row>
    <row r="50" customFormat="false" ht="79.5" hidden="false" customHeight="true" outlineLevel="0" collapsed="false">
      <c r="A50" s="19" t="s">
        <v>376</v>
      </c>
      <c r="B50" s="15" t="n">
        <v>7</v>
      </c>
      <c r="C50" s="20" t="n">
        <f aca="false">'Tổng quan'!$C$5+(B50-1)*7</f>
        <v>46356</v>
      </c>
      <c r="D50" s="20" t="n">
        <f aca="false">C50+6</f>
        <v>46362</v>
      </c>
      <c r="E50" s="21" t="s">
        <v>343</v>
      </c>
      <c r="F50" s="15" t="s">
        <v>46</v>
      </c>
      <c r="G50" s="22" t="s">
        <v>47</v>
      </c>
      <c r="H50" s="10" t="s">
        <v>48</v>
      </c>
      <c r="I50" s="10" t="s">
        <v>38</v>
      </c>
      <c r="J50" s="11" t="s">
        <v>377</v>
      </c>
      <c r="K50" s="12" t="s">
        <v>378</v>
      </c>
      <c r="L50" s="12" t="s">
        <v>379</v>
      </c>
      <c r="M50" s="12" t="s">
        <v>380</v>
      </c>
      <c r="N50" s="12" t="s">
        <v>381</v>
      </c>
      <c r="O50" s="23" t="s">
        <v>102</v>
      </c>
      <c r="P50" s="24"/>
      <c r="Q50" s="24"/>
      <c r="R50" s="24"/>
    </row>
  </sheetData>
  <autoFilter ref="A1:R50"/>
  <conditionalFormatting sqref="O2:O50">
    <cfRule type="expression" priority="2" aboveAverage="0" equalAverage="0" bottom="0" percent="0" rank="0" text="" dxfId="7">
      <formula>AND(O2="Done",LEN(P2)=0)</formula>
    </cfRule>
    <cfRule type="expression" priority="3" aboveAverage="0" equalAverage="0" bottom="0" percent="0" rank="0" text="" dxfId="8">
      <formula>O2="Done"</formula>
    </cfRule>
    <cfRule type="expression" priority="4" aboveAverage="0" equalAverage="0" bottom="0" percent="0" rank="0" text="" dxfId="9">
      <formula>OR(O2="In progress",O2="Review")</formula>
    </cfRule>
    <cfRule type="expression" priority="5" aboveAverage="0" equalAverage="0" bottom="0" percent="0" rank="0" text="" dxfId="10">
      <formula>O2="Blocked"</formula>
    </cfRule>
  </conditionalFormatting>
  <dataValidations count="1">
    <dataValidation allowBlank="true" errorStyle="stop" operator="between" showDropDown="false" showErrorMessage="false" showInputMessage="false" sqref="O2:O50" type="list">
      <formula1>"To do,In progress,Review,Done,Blocked"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40"/>
    <col collapsed="false" customWidth="true" hidden="false" outlineLevel="0" max="5" min="5" style="0" width="26"/>
    <col collapsed="false" customWidth="true" hidden="false" outlineLevel="0" max="6" min="6" style="0" width="32"/>
    <col collapsed="false" customWidth="true" hidden="false" outlineLevel="0" max="7" min="7" style="0" width="9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1" min="11" style="0" width="24"/>
  </cols>
  <sheetData>
    <row r="1" customFormat="false" ht="30" hidden="false" customHeight="true" outlineLevel="0" collapsed="false">
      <c r="A1" s="6" t="s">
        <v>382</v>
      </c>
      <c r="B1" s="6" t="s">
        <v>383</v>
      </c>
      <c r="C1" s="6" t="s">
        <v>384</v>
      </c>
      <c r="D1" s="6" t="s">
        <v>385</v>
      </c>
      <c r="E1" s="6" t="s">
        <v>386</v>
      </c>
      <c r="F1" s="6" t="s">
        <v>387</v>
      </c>
      <c r="G1" s="6" t="s">
        <v>388</v>
      </c>
      <c r="H1" s="6" t="s">
        <v>389</v>
      </c>
      <c r="I1" s="6" t="s">
        <v>10</v>
      </c>
      <c r="J1" s="6" t="s">
        <v>390</v>
      </c>
      <c r="K1" s="6" t="s">
        <v>391</v>
      </c>
    </row>
    <row r="2" customFormat="false" ht="15" hidden="false" customHeight="false" outlineLevel="0" collapsed="false">
      <c r="A2" s="19" t="s">
        <v>392</v>
      </c>
      <c r="B2" s="16" t="s">
        <v>393</v>
      </c>
      <c r="C2" s="16" t="s">
        <v>394</v>
      </c>
      <c r="D2" s="9" t="s">
        <v>395</v>
      </c>
      <c r="E2" s="9" t="s">
        <v>396</v>
      </c>
      <c r="F2" s="16" t="s">
        <v>220</v>
      </c>
      <c r="G2" s="15" t="n">
        <v>1</v>
      </c>
      <c r="H2" s="20" t="n">
        <f aca="false">'Tổng quan'!$C$5+G2*7-1</f>
        <v>46320</v>
      </c>
      <c r="I2" s="23" t="s">
        <v>11</v>
      </c>
      <c r="J2" s="23" t="s">
        <v>397</v>
      </c>
      <c r="K2" s="24"/>
    </row>
    <row r="3" customFormat="false" ht="15" hidden="false" customHeight="false" outlineLevel="0" collapsed="false">
      <c r="A3" s="19" t="s">
        <v>398</v>
      </c>
      <c r="B3" s="16" t="s">
        <v>399</v>
      </c>
      <c r="C3" s="16" t="s">
        <v>400</v>
      </c>
      <c r="D3" s="12" t="s">
        <v>401</v>
      </c>
      <c r="E3" s="12" t="s">
        <v>402</v>
      </c>
      <c r="F3" s="16" t="s">
        <v>396</v>
      </c>
      <c r="G3" s="15" t="n">
        <v>2</v>
      </c>
      <c r="H3" s="20" t="n">
        <f aca="false">'Tổng quan'!$C$5+G3*7-1</f>
        <v>46327</v>
      </c>
      <c r="I3" s="23" t="s">
        <v>11</v>
      </c>
      <c r="J3" s="23" t="s">
        <v>397</v>
      </c>
      <c r="K3" s="24"/>
    </row>
    <row r="4" customFormat="false" ht="15" hidden="false" customHeight="false" outlineLevel="0" collapsed="false">
      <c r="A4" s="19" t="s">
        <v>398</v>
      </c>
      <c r="B4" s="16" t="s">
        <v>399</v>
      </c>
      <c r="C4" s="16" t="s">
        <v>400</v>
      </c>
      <c r="D4" s="12" t="s">
        <v>403</v>
      </c>
      <c r="E4" s="12" t="s">
        <v>402</v>
      </c>
      <c r="F4" s="16" t="s">
        <v>404</v>
      </c>
      <c r="G4" s="15" t="n">
        <v>2</v>
      </c>
      <c r="H4" s="20" t="n">
        <f aca="false">'Tổng quan'!$C$5+G4*7-1</f>
        <v>46327</v>
      </c>
      <c r="I4" s="23" t="s">
        <v>11</v>
      </c>
      <c r="J4" s="23" t="s">
        <v>397</v>
      </c>
      <c r="K4" s="24"/>
    </row>
    <row r="5" customFormat="false" ht="15" hidden="false" customHeight="false" outlineLevel="0" collapsed="false">
      <c r="A5" s="19" t="s">
        <v>398</v>
      </c>
      <c r="B5" s="16" t="s">
        <v>399</v>
      </c>
      <c r="C5" s="16" t="s">
        <v>400</v>
      </c>
      <c r="D5" s="12" t="s">
        <v>405</v>
      </c>
      <c r="E5" s="12" t="s">
        <v>402</v>
      </c>
      <c r="F5" s="16" t="s">
        <v>220</v>
      </c>
      <c r="G5" s="15" t="n">
        <v>2</v>
      </c>
      <c r="H5" s="20" t="n">
        <f aca="false">'Tổng quan'!$C$5+G5*7-1</f>
        <v>46327</v>
      </c>
      <c r="I5" s="23" t="s">
        <v>11</v>
      </c>
      <c r="J5" s="23" t="s">
        <v>397</v>
      </c>
      <c r="K5" s="24"/>
    </row>
    <row r="6" customFormat="false" ht="15" hidden="false" customHeight="false" outlineLevel="0" collapsed="false">
      <c r="A6" s="19" t="s">
        <v>398</v>
      </c>
      <c r="B6" s="16" t="s">
        <v>399</v>
      </c>
      <c r="C6" s="16" t="s">
        <v>400</v>
      </c>
      <c r="D6" s="12" t="s">
        <v>406</v>
      </c>
      <c r="E6" s="12" t="s">
        <v>402</v>
      </c>
      <c r="F6" s="16" t="s">
        <v>407</v>
      </c>
      <c r="G6" s="15" t="n">
        <v>2</v>
      </c>
      <c r="H6" s="20" t="n">
        <f aca="false">'Tổng quan'!$C$5+G6*7-1</f>
        <v>46327</v>
      </c>
      <c r="I6" s="23" t="s">
        <v>11</v>
      </c>
      <c r="J6" s="23" t="s">
        <v>397</v>
      </c>
      <c r="K6" s="24"/>
    </row>
    <row r="7" customFormat="false" ht="15" hidden="false" customHeight="false" outlineLevel="0" collapsed="false">
      <c r="A7" s="19" t="s">
        <v>398</v>
      </c>
      <c r="B7" s="16" t="s">
        <v>399</v>
      </c>
      <c r="C7" s="16" t="s">
        <v>400</v>
      </c>
      <c r="D7" s="12" t="s">
        <v>408</v>
      </c>
      <c r="E7" s="12" t="s">
        <v>409</v>
      </c>
      <c r="F7" s="16" t="s">
        <v>402</v>
      </c>
      <c r="G7" s="15" t="n">
        <v>2</v>
      </c>
      <c r="H7" s="20" t="n">
        <f aca="false">'Tổng quan'!$C$5+G7*7-1</f>
        <v>46327</v>
      </c>
      <c r="I7" s="23" t="s">
        <v>11</v>
      </c>
      <c r="J7" s="23" t="s">
        <v>397</v>
      </c>
      <c r="K7" s="24"/>
    </row>
    <row r="8" customFormat="false" ht="15" hidden="false" customHeight="false" outlineLevel="0" collapsed="false">
      <c r="A8" s="19" t="s">
        <v>398</v>
      </c>
      <c r="B8" s="16" t="s">
        <v>399</v>
      </c>
      <c r="C8" s="16" t="s">
        <v>400</v>
      </c>
      <c r="D8" s="12" t="s">
        <v>410</v>
      </c>
      <c r="E8" s="12" t="s">
        <v>411</v>
      </c>
      <c r="F8" s="16" t="s">
        <v>220</v>
      </c>
      <c r="G8" s="15" t="n">
        <v>2</v>
      </c>
      <c r="H8" s="20" t="n">
        <f aca="false">'Tổng quan'!$C$5+G8*7-1</f>
        <v>46327</v>
      </c>
      <c r="I8" s="23" t="s">
        <v>11</v>
      </c>
      <c r="J8" s="23" t="s">
        <v>397</v>
      </c>
      <c r="K8" s="24"/>
    </row>
    <row r="9" customFormat="false" ht="15" hidden="false" customHeight="false" outlineLevel="0" collapsed="false">
      <c r="A9" s="19" t="s">
        <v>398</v>
      </c>
      <c r="B9" s="16" t="s">
        <v>399</v>
      </c>
      <c r="C9" s="16" t="s">
        <v>400</v>
      </c>
      <c r="D9" s="12" t="s">
        <v>412</v>
      </c>
      <c r="E9" s="12" t="s">
        <v>409</v>
      </c>
      <c r="F9" s="16" t="s">
        <v>220</v>
      </c>
      <c r="G9" s="15" t="n">
        <v>2</v>
      </c>
      <c r="H9" s="20" t="n">
        <f aca="false">'Tổng quan'!$C$5+G9*7-1</f>
        <v>46327</v>
      </c>
      <c r="I9" s="23" t="s">
        <v>11</v>
      </c>
      <c r="J9" s="23" t="s">
        <v>397</v>
      </c>
      <c r="K9" s="24"/>
    </row>
    <row r="10" customFormat="false" ht="15" hidden="false" customHeight="false" outlineLevel="0" collapsed="false">
      <c r="A10" s="19" t="s">
        <v>398</v>
      </c>
      <c r="B10" s="16" t="s">
        <v>399</v>
      </c>
      <c r="C10" s="16" t="s">
        <v>400</v>
      </c>
      <c r="D10" s="12" t="s">
        <v>413</v>
      </c>
      <c r="E10" s="12" t="s">
        <v>414</v>
      </c>
      <c r="F10" s="16" t="s">
        <v>415</v>
      </c>
      <c r="G10" s="15" t="n">
        <v>2</v>
      </c>
      <c r="H10" s="20" t="n">
        <f aca="false">'Tổng quan'!$C$5+G10*7-1</f>
        <v>46327</v>
      </c>
      <c r="I10" s="23" t="s">
        <v>11</v>
      </c>
      <c r="J10" s="23" t="s">
        <v>397</v>
      </c>
      <c r="K10" s="24"/>
    </row>
    <row r="11" customFormat="false" ht="15" hidden="false" customHeight="false" outlineLevel="0" collapsed="false">
      <c r="A11" s="19" t="s">
        <v>398</v>
      </c>
      <c r="B11" s="16" t="s">
        <v>399</v>
      </c>
      <c r="C11" s="16" t="s">
        <v>400</v>
      </c>
      <c r="D11" s="12" t="s">
        <v>416</v>
      </c>
      <c r="E11" s="12" t="s">
        <v>402</v>
      </c>
      <c r="F11" s="16" t="s">
        <v>396</v>
      </c>
      <c r="G11" s="15" t="n">
        <v>2</v>
      </c>
      <c r="H11" s="20" t="n">
        <f aca="false">'Tổng quan'!$C$5+G11*7-1</f>
        <v>46327</v>
      </c>
      <c r="I11" s="23" t="s">
        <v>11</v>
      </c>
      <c r="J11" s="23" t="s">
        <v>397</v>
      </c>
      <c r="K11" s="24"/>
    </row>
    <row r="12" customFormat="false" ht="15" hidden="false" customHeight="false" outlineLevel="0" collapsed="false">
      <c r="A12" s="19" t="s">
        <v>417</v>
      </c>
      <c r="B12" s="16" t="s">
        <v>418</v>
      </c>
      <c r="C12" s="16" t="s">
        <v>419</v>
      </c>
      <c r="D12" s="9" t="s">
        <v>420</v>
      </c>
      <c r="E12" s="9" t="s">
        <v>396</v>
      </c>
      <c r="F12" s="16" t="s">
        <v>220</v>
      </c>
      <c r="G12" s="15" t="n">
        <v>2</v>
      </c>
      <c r="H12" s="20" t="n">
        <f aca="false">'Tổng quan'!$C$5+G12*7-1</f>
        <v>46327</v>
      </c>
      <c r="I12" s="23" t="s">
        <v>11</v>
      </c>
      <c r="J12" s="23" t="s">
        <v>397</v>
      </c>
      <c r="K12" s="24"/>
    </row>
    <row r="13" customFormat="false" ht="15" hidden="false" customHeight="false" outlineLevel="0" collapsed="false">
      <c r="A13" s="19" t="s">
        <v>417</v>
      </c>
      <c r="B13" s="16" t="s">
        <v>418</v>
      </c>
      <c r="C13" s="16" t="s">
        <v>419</v>
      </c>
      <c r="D13" s="9" t="s">
        <v>421</v>
      </c>
      <c r="E13" s="9" t="s">
        <v>396</v>
      </c>
      <c r="F13" s="16" t="s">
        <v>422</v>
      </c>
      <c r="G13" s="15" t="n">
        <v>2</v>
      </c>
      <c r="H13" s="20" t="n">
        <f aca="false">'Tổng quan'!$C$5+G13*7-1</f>
        <v>46327</v>
      </c>
      <c r="I13" s="23" t="s">
        <v>11</v>
      </c>
      <c r="J13" s="23" t="s">
        <v>397</v>
      </c>
      <c r="K13" s="24"/>
    </row>
    <row r="14" customFormat="false" ht="15" hidden="false" customHeight="false" outlineLevel="0" collapsed="false">
      <c r="A14" s="19" t="s">
        <v>417</v>
      </c>
      <c r="B14" s="16" t="s">
        <v>418</v>
      </c>
      <c r="C14" s="16" t="s">
        <v>419</v>
      </c>
      <c r="D14" s="9" t="s">
        <v>423</v>
      </c>
      <c r="E14" s="9" t="s">
        <v>396</v>
      </c>
      <c r="F14" s="16" t="s">
        <v>424</v>
      </c>
      <c r="G14" s="15" t="n">
        <v>2</v>
      </c>
      <c r="H14" s="20" t="n">
        <f aca="false">'Tổng quan'!$C$5+G14*7-1</f>
        <v>46327</v>
      </c>
      <c r="I14" s="23" t="s">
        <v>11</v>
      </c>
      <c r="J14" s="23" t="s">
        <v>397</v>
      </c>
      <c r="K14" s="24"/>
    </row>
    <row r="15" customFormat="false" ht="23.85" hidden="false" customHeight="false" outlineLevel="0" collapsed="false">
      <c r="A15" s="19" t="s">
        <v>417</v>
      </c>
      <c r="B15" s="16" t="s">
        <v>418</v>
      </c>
      <c r="C15" s="16" t="s">
        <v>419</v>
      </c>
      <c r="D15" s="9" t="s">
        <v>425</v>
      </c>
      <c r="E15" s="9" t="s">
        <v>424</v>
      </c>
      <c r="F15" s="16" t="s">
        <v>396</v>
      </c>
      <c r="G15" s="15" t="n">
        <v>2</v>
      </c>
      <c r="H15" s="20" t="n">
        <f aca="false">'Tổng quan'!$C$5+G15*7-1</f>
        <v>46327</v>
      </c>
      <c r="I15" s="23" t="s">
        <v>11</v>
      </c>
      <c r="J15" s="23" t="s">
        <v>397</v>
      </c>
      <c r="K15" s="24"/>
    </row>
    <row r="16" customFormat="false" ht="15" hidden="false" customHeight="false" outlineLevel="0" collapsed="false">
      <c r="A16" s="19" t="s">
        <v>417</v>
      </c>
      <c r="B16" s="16" t="s">
        <v>418</v>
      </c>
      <c r="C16" s="16" t="s">
        <v>419</v>
      </c>
      <c r="D16" s="9" t="s">
        <v>426</v>
      </c>
      <c r="E16" s="9" t="s">
        <v>404</v>
      </c>
      <c r="F16" s="16" t="s">
        <v>409</v>
      </c>
      <c r="G16" s="15" t="n">
        <v>2</v>
      </c>
      <c r="H16" s="20" t="n">
        <f aca="false">'Tổng quan'!$C$5+G16*7-1</f>
        <v>46327</v>
      </c>
      <c r="I16" s="23" t="s">
        <v>11</v>
      </c>
      <c r="J16" s="23" t="s">
        <v>397</v>
      </c>
      <c r="K16" s="24"/>
    </row>
    <row r="17" customFormat="false" ht="15" hidden="false" customHeight="false" outlineLevel="0" collapsed="false">
      <c r="A17" s="19" t="s">
        <v>417</v>
      </c>
      <c r="B17" s="16" t="s">
        <v>418</v>
      </c>
      <c r="C17" s="16" t="s">
        <v>419</v>
      </c>
      <c r="D17" s="9" t="s">
        <v>427</v>
      </c>
      <c r="E17" s="9" t="s">
        <v>396</v>
      </c>
      <c r="F17" s="16" t="s">
        <v>424</v>
      </c>
      <c r="G17" s="15" t="n">
        <v>2</v>
      </c>
      <c r="H17" s="20" t="n">
        <f aca="false">'Tổng quan'!$C$5+G17*7-1</f>
        <v>46327</v>
      </c>
      <c r="I17" s="23" t="s">
        <v>11</v>
      </c>
      <c r="J17" s="23" t="s">
        <v>397</v>
      </c>
      <c r="K17" s="24"/>
    </row>
    <row r="18" customFormat="false" ht="15" hidden="false" customHeight="false" outlineLevel="0" collapsed="false">
      <c r="A18" s="19" t="s">
        <v>417</v>
      </c>
      <c r="B18" s="16" t="s">
        <v>418</v>
      </c>
      <c r="C18" s="16" t="s">
        <v>419</v>
      </c>
      <c r="D18" s="9" t="s">
        <v>428</v>
      </c>
      <c r="E18" s="9" t="s">
        <v>415</v>
      </c>
      <c r="F18" s="16" t="s">
        <v>422</v>
      </c>
      <c r="G18" s="15" t="n">
        <v>2</v>
      </c>
      <c r="H18" s="20" t="n">
        <f aca="false">'Tổng quan'!$C$5+G18*7-1</f>
        <v>46327</v>
      </c>
      <c r="I18" s="23" t="s">
        <v>11</v>
      </c>
      <c r="J18" s="23" t="s">
        <v>397</v>
      </c>
      <c r="K18" s="24"/>
    </row>
    <row r="19" customFormat="false" ht="15" hidden="false" customHeight="false" outlineLevel="0" collapsed="false">
      <c r="A19" s="19" t="s">
        <v>417</v>
      </c>
      <c r="B19" s="16" t="s">
        <v>418</v>
      </c>
      <c r="C19" s="16" t="s">
        <v>419</v>
      </c>
      <c r="D19" s="9" t="s">
        <v>429</v>
      </c>
      <c r="E19" s="9" t="s">
        <v>396</v>
      </c>
      <c r="F19" s="16" t="s">
        <v>220</v>
      </c>
      <c r="G19" s="15" t="n">
        <v>2</v>
      </c>
      <c r="H19" s="20" t="n">
        <f aca="false">'Tổng quan'!$C$5+G19*7-1</f>
        <v>46327</v>
      </c>
      <c r="I19" s="23" t="s">
        <v>11</v>
      </c>
      <c r="J19" s="23" t="s">
        <v>397</v>
      </c>
      <c r="K19" s="24"/>
    </row>
    <row r="20" customFormat="false" ht="15" hidden="false" customHeight="false" outlineLevel="0" collapsed="false">
      <c r="A20" s="19" t="s">
        <v>417</v>
      </c>
      <c r="B20" s="16" t="s">
        <v>418</v>
      </c>
      <c r="C20" s="16" t="s">
        <v>419</v>
      </c>
      <c r="D20" s="9" t="s">
        <v>430</v>
      </c>
      <c r="E20" s="9" t="s">
        <v>396</v>
      </c>
      <c r="F20" s="16" t="s">
        <v>220</v>
      </c>
      <c r="G20" s="15" t="n">
        <v>7</v>
      </c>
      <c r="H20" s="20" t="n">
        <f aca="false">'Tổng quan'!$C$5+G20*7-1</f>
        <v>46362</v>
      </c>
      <c r="I20" s="23" t="s">
        <v>11</v>
      </c>
      <c r="J20" s="23" t="s">
        <v>397</v>
      </c>
      <c r="K20" s="24"/>
    </row>
    <row r="21" customFormat="false" ht="15" hidden="false" customHeight="false" outlineLevel="0" collapsed="false">
      <c r="A21" s="19" t="s">
        <v>431</v>
      </c>
      <c r="B21" s="16" t="s">
        <v>432</v>
      </c>
      <c r="C21" s="16" t="s">
        <v>433</v>
      </c>
      <c r="D21" s="12" t="s">
        <v>434</v>
      </c>
      <c r="E21" s="12" t="s">
        <v>402</v>
      </c>
      <c r="F21" s="16" t="s">
        <v>415</v>
      </c>
      <c r="G21" s="15" t="n">
        <v>2</v>
      </c>
      <c r="H21" s="20" t="n">
        <f aca="false">'Tổng quan'!$C$5+G21*7-1</f>
        <v>46327</v>
      </c>
      <c r="I21" s="23" t="s">
        <v>11</v>
      </c>
      <c r="J21" s="23" t="s">
        <v>397</v>
      </c>
      <c r="K21" s="24"/>
    </row>
    <row r="22" customFormat="false" ht="15" hidden="false" customHeight="false" outlineLevel="0" collapsed="false">
      <c r="A22" s="19" t="s">
        <v>431</v>
      </c>
      <c r="B22" s="16" t="s">
        <v>432</v>
      </c>
      <c r="C22" s="16" t="s">
        <v>433</v>
      </c>
      <c r="D22" s="12" t="s">
        <v>435</v>
      </c>
      <c r="E22" s="12" t="s">
        <v>402</v>
      </c>
      <c r="F22" s="16" t="s">
        <v>220</v>
      </c>
      <c r="G22" s="15" t="n">
        <v>2</v>
      </c>
      <c r="H22" s="20" t="n">
        <f aca="false">'Tổng quan'!$C$5+G22*7-1</f>
        <v>46327</v>
      </c>
      <c r="I22" s="23" t="s">
        <v>11</v>
      </c>
      <c r="J22" s="23" t="s">
        <v>397</v>
      </c>
      <c r="K22" s="24"/>
    </row>
    <row r="23" customFormat="false" ht="15" hidden="false" customHeight="false" outlineLevel="0" collapsed="false">
      <c r="A23" s="19" t="s">
        <v>431</v>
      </c>
      <c r="B23" s="16" t="s">
        <v>432</v>
      </c>
      <c r="C23" s="16" t="s">
        <v>433</v>
      </c>
      <c r="D23" s="12" t="s">
        <v>436</v>
      </c>
      <c r="E23" s="12" t="s">
        <v>409</v>
      </c>
      <c r="F23" s="16" t="s">
        <v>220</v>
      </c>
      <c r="G23" s="15" t="n">
        <v>2</v>
      </c>
      <c r="H23" s="20" t="n">
        <f aca="false">'Tổng quan'!$C$5+G23*7-1</f>
        <v>46327</v>
      </c>
      <c r="I23" s="23" t="s">
        <v>11</v>
      </c>
      <c r="J23" s="23" t="s">
        <v>397</v>
      </c>
      <c r="K23" s="24"/>
    </row>
    <row r="24" customFormat="false" ht="15" hidden="false" customHeight="false" outlineLevel="0" collapsed="false">
      <c r="A24" s="19" t="s">
        <v>431</v>
      </c>
      <c r="B24" s="16" t="s">
        <v>432</v>
      </c>
      <c r="C24" s="16" t="s">
        <v>433</v>
      </c>
      <c r="D24" s="12" t="s">
        <v>437</v>
      </c>
      <c r="E24" s="12" t="s">
        <v>409</v>
      </c>
      <c r="F24" s="16" t="s">
        <v>404</v>
      </c>
      <c r="G24" s="15" t="n">
        <v>2</v>
      </c>
      <c r="H24" s="20" t="n">
        <f aca="false">'Tổng quan'!$C$5+G24*7-1</f>
        <v>46327</v>
      </c>
      <c r="I24" s="23" t="s">
        <v>11</v>
      </c>
      <c r="J24" s="23" t="s">
        <v>397</v>
      </c>
      <c r="K24" s="24"/>
    </row>
    <row r="25" customFormat="false" ht="15" hidden="false" customHeight="false" outlineLevel="0" collapsed="false">
      <c r="A25" s="19" t="s">
        <v>431</v>
      </c>
      <c r="B25" s="16" t="s">
        <v>432</v>
      </c>
      <c r="C25" s="16" t="s">
        <v>433</v>
      </c>
      <c r="D25" s="12" t="s">
        <v>438</v>
      </c>
      <c r="E25" s="12" t="s">
        <v>414</v>
      </c>
      <c r="F25" s="16" t="s">
        <v>220</v>
      </c>
      <c r="G25" s="15" t="n">
        <v>2</v>
      </c>
      <c r="H25" s="20" t="n">
        <f aca="false">'Tổng quan'!$C$5+G25*7-1</f>
        <v>46327</v>
      </c>
      <c r="I25" s="23" t="s">
        <v>11</v>
      </c>
      <c r="J25" s="23" t="s">
        <v>397</v>
      </c>
      <c r="K25" s="24"/>
    </row>
    <row r="26" customFormat="false" ht="15" hidden="false" customHeight="false" outlineLevel="0" collapsed="false">
      <c r="A26" s="19" t="s">
        <v>431</v>
      </c>
      <c r="B26" s="16" t="s">
        <v>432</v>
      </c>
      <c r="C26" s="16" t="s">
        <v>433</v>
      </c>
      <c r="D26" s="12" t="s">
        <v>439</v>
      </c>
      <c r="E26" s="12" t="s">
        <v>440</v>
      </c>
      <c r="F26" s="16" t="s">
        <v>220</v>
      </c>
      <c r="G26" s="15" t="n">
        <v>2</v>
      </c>
      <c r="H26" s="20" t="n">
        <f aca="false">'Tổng quan'!$C$5+G26*7-1</f>
        <v>46327</v>
      </c>
      <c r="I26" s="23" t="s">
        <v>11</v>
      </c>
      <c r="J26" s="23" t="s">
        <v>397</v>
      </c>
      <c r="K26" s="24"/>
    </row>
    <row r="27" customFormat="false" ht="15" hidden="false" customHeight="false" outlineLevel="0" collapsed="false">
      <c r="A27" s="19" t="s">
        <v>431</v>
      </c>
      <c r="B27" s="16" t="s">
        <v>432</v>
      </c>
      <c r="C27" s="16" t="s">
        <v>433</v>
      </c>
      <c r="D27" s="9" t="s">
        <v>441</v>
      </c>
      <c r="E27" s="9" t="s">
        <v>422</v>
      </c>
      <c r="F27" s="16" t="s">
        <v>409</v>
      </c>
      <c r="G27" s="15" t="n">
        <v>2</v>
      </c>
      <c r="H27" s="20" t="n">
        <f aca="false">'Tổng quan'!$C$5+G27*7-1</f>
        <v>46327</v>
      </c>
      <c r="I27" s="23" t="s">
        <v>11</v>
      </c>
      <c r="J27" s="23" t="s">
        <v>397</v>
      </c>
      <c r="K27" s="24"/>
    </row>
    <row r="28" customFormat="false" ht="23.85" hidden="false" customHeight="false" outlineLevel="0" collapsed="false">
      <c r="A28" s="19" t="s">
        <v>431</v>
      </c>
      <c r="B28" s="16" t="s">
        <v>432</v>
      </c>
      <c r="C28" s="16" t="s">
        <v>433</v>
      </c>
      <c r="D28" s="9" t="s">
        <v>442</v>
      </c>
      <c r="E28" s="9" t="s">
        <v>443</v>
      </c>
      <c r="F28" s="16" t="s">
        <v>414</v>
      </c>
      <c r="G28" s="15" t="n">
        <v>2</v>
      </c>
      <c r="H28" s="20" t="n">
        <f aca="false">'Tổng quan'!$C$5+G28*7-1</f>
        <v>46327</v>
      </c>
      <c r="I28" s="23" t="s">
        <v>11</v>
      </c>
      <c r="J28" s="23" t="s">
        <v>397</v>
      </c>
      <c r="K28" s="24"/>
    </row>
    <row r="29" customFormat="false" ht="15" hidden="false" customHeight="false" outlineLevel="0" collapsed="false">
      <c r="A29" s="19" t="s">
        <v>431</v>
      </c>
      <c r="B29" s="16" t="s">
        <v>432</v>
      </c>
      <c r="C29" s="16" t="s">
        <v>433</v>
      </c>
      <c r="D29" s="12" t="s">
        <v>444</v>
      </c>
      <c r="E29" s="12" t="s">
        <v>402</v>
      </c>
      <c r="F29" s="16" t="s">
        <v>409</v>
      </c>
      <c r="G29" s="15" t="n">
        <v>2</v>
      </c>
      <c r="H29" s="20" t="n">
        <f aca="false">'Tổng quan'!$C$5+G29*7-1</f>
        <v>46327</v>
      </c>
      <c r="I29" s="23" t="s">
        <v>11</v>
      </c>
      <c r="J29" s="23" t="s">
        <v>397</v>
      </c>
      <c r="K29" s="24"/>
    </row>
    <row r="30" customFormat="false" ht="23.85" hidden="false" customHeight="false" outlineLevel="0" collapsed="false">
      <c r="A30" s="19" t="s">
        <v>431</v>
      </c>
      <c r="B30" s="16" t="s">
        <v>432</v>
      </c>
      <c r="C30" s="16" t="s">
        <v>433</v>
      </c>
      <c r="D30" s="12" t="s">
        <v>445</v>
      </c>
      <c r="E30" s="12" t="s">
        <v>446</v>
      </c>
      <c r="F30" s="16" t="s">
        <v>447</v>
      </c>
      <c r="G30" s="15" t="n">
        <v>5</v>
      </c>
      <c r="H30" s="20" t="n">
        <f aca="false">'Tổng quan'!$C$5+G30*7-1</f>
        <v>46348</v>
      </c>
      <c r="I30" s="23" t="s">
        <v>11</v>
      </c>
      <c r="J30" s="23" t="s">
        <v>397</v>
      </c>
      <c r="K30" s="24"/>
    </row>
    <row r="31" customFormat="false" ht="15" hidden="false" customHeight="false" outlineLevel="0" collapsed="false">
      <c r="A31" s="19" t="s">
        <v>448</v>
      </c>
      <c r="B31" s="16" t="s">
        <v>449</v>
      </c>
      <c r="C31" s="16" t="s">
        <v>433</v>
      </c>
      <c r="D31" s="12" t="s">
        <v>450</v>
      </c>
      <c r="E31" s="12" t="s">
        <v>446</v>
      </c>
      <c r="F31" s="16" t="s">
        <v>220</v>
      </c>
      <c r="G31" s="15" t="n">
        <v>3</v>
      </c>
      <c r="H31" s="20" t="n">
        <f aca="false">'Tổng quan'!$C$5+G31*7-1</f>
        <v>46334</v>
      </c>
      <c r="I31" s="23" t="s">
        <v>11</v>
      </c>
      <c r="J31" s="23" t="s">
        <v>397</v>
      </c>
      <c r="K31" s="24"/>
    </row>
    <row r="32" customFormat="false" ht="15" hidden="false" customHeight="false" outlineLevel="0" collapsed="false">
      <c r="A32" s="19" t="s">
        <v>448</v>
      </c>
      <c r="B32" s="16" t="s">
        <v>449</v>
      </c>
      <c r="C32" s="16" t="s">
        <v>433</v>
      </c>
      <c r="D32" s="12" t="s">
        <v>451</v>
      </c>
      <c r="E32" s="12" t="s">
        <v>402</v>
      </c>
      <c r="F32" s="16" t="s">
        <v>407</v>
      </c>
      <c r="G32" s="15" t="n">
        <v>6</v>
      </c>
      <c r="H32" s="20" t="n">
        <f aca="false">'Tổng quan'!$C$5+G32*7-1</f>
        <v>46355</v>
      </c>
      <c r="I32" s="23" t="s">
        <v>11</v>
      </c>
      <c r="J32" s="23" t="s">
        <v>397</v>
      </c>
      <c r="K32" s="24"/>
    </row>
    <row r="33" customFormat="false" ht="23.85" hidden="false" customHeight="false" outlineLevel="0" collapsed="false">
      <c r="A33" s="19" t="s">
        <v>448</v>
      </c>
      <c r="B33" s="16" t="s">
        <v>449</v>
      </c>
      <c r="C33" s="16" t="s">
        <v>433</v>
      </c>
      <c r="D33" s="9" t="s">
        <v>452</v>
      </c>
      <c r="E33" s="9" t="s">
        <v>424</v>
      </c>
      <c r="F33" s="16" t="s">
        <v>396</v>
      </c>
      <c r="G33" s="15" t="n">
        <v>6</v>
      </c>
      <c r="H33" s="20" t="n">
        <f aca="false">'Tổng quan'!$C$5+G33*7-1</f>
        <v>46355</v>
      </c>
      <c r="I33" s="23" t="s">
        <v>11</v>
      </c>
      <c r="J33" s="23" t="s">
        <v>397</v>
      </c>
      <c r="K33" s="24"/>
    </row>
    <row r="34" customFormat="false" ht="15" hidden="false" customHeight="false" outlineLevel="0" collapsed="false">
      <c r="A34" s="19" t="s">
        <v>448</v>
      </c>
      <c r="B34" s="16" t="s">
        <v>449</v>
      </c>
      <c r="C34" s="16" t="s">
        <v>433</v>
      </c>
      <c r="D34" s="9" t="s">
        <v>453</v>
      </c>
      <c r="E34" s="9" t="s">
        <v>396</v>
      </c>
      <c r="F34" s="16" t="s">
        <v>454</v>
      </c>
      <c r="G34" s="15" t="n">
        <v>6</v>
      </c>
      <c r="H34" s="20" t="n">
        <f aca="false">'Tổng quan'!$C$5+G34*7-1</f>
        <v>46355</v>
      </c>
      <c r="I34" s="23" t="s">
        <v>11</v>
      </c>
      <c r="J34" s="23" t="s">
        <v>397</v>
      </c>
      <c r="K34" s="24"/>
    </row>
    <row r="35" customFormat="false" ht="15" hidden="false" customHeight="false" outlineLevel="0" collapsed="false">
      <c r="A35" s="19" t="s">
        <v>448</v>
      </c>
      <c r="B35" s="16" t="s">
        <v>449</v>
      </c>
      <c r="C35" s="16" t="s">
        <v>433</v>
      </c>
      <c r="D35" s="12" t="s">
        <v>455</v>
      </c>
      <c r="E35" s="12" t="s">
        <v>446</v>
      </c>
      <c r="F35" s="16" t="s">
        <v>220</v>
      </c>
      <c r="G35" s="15" t="n">
        <v>6</v>
      </c>
      <c r="H35" s="20" t="n">
        <f aca="false">'Tổng quan'!$C$5+G35*7-1</f>
        <v>46355</v>
      </c>
      <c r="I35" s="23" t="s">
        <v>11</v>
      </c>
      <c r="J35" s="23" t="s">
        <v>397</v>
      </c>
      <c r="K35" s="24"/>
    </row>
    <row r="36" customFormat="false" ht="15" hidden="false" customHeight="false" outlineLevel="0" collapsed="false">
      <c r="A36" s="19" t="s">
        <v>448</v>
      </c>
      <c r="B36" s="16" t="s">
        <v>449</v>
      </c>
      <c r="C36" s="16" t="s">
        <v>433</v>
      </c>
      <c r="D36" s="9" t="s">
        <v>456</v>
      </c>
      <c r="E36" s="9" t="s">
        <v>404</v>
      </c>
      <c r="F36" s="16" t="s">
        <v>414</v>
      </c>
      <c r="G36" s="15" t="n">
        <v>6</v>
      </c>
      <c r="H36" s="20" t="n">
        <f aca="false">'Tổng quan'!$C$5+G36*7-1</f>
        <v>46355</v>
      </c>
      <c r="I36" s="23" t="s">
        <v>11</v>
      </c>
      <c r="J36" s="23" t="s">
        <v>397</v>
      </c>
      <c r="K36" s="24"/>
    </row>
    <row r="37" customFormat="false" ht="15" hidden="false" customHeight="false" outlineLevel="0" collapsed="false">
      <c r="A37" s="19" t="s">
        <v>457</v>
      </c>
      <c r="B37" s="16" t="s">
        <v>458</v>
      </c>
      <c r="C37" s="16" t="s">
        <v>433</v>
      </c>
      <c r="D37" s="12" t="s">
        <v>459</v>
      </c>
      <c r="E37" s="12" t="s">
        <v>414</v>
      </c>
      <c r="F37" s="16" t="s">
        <v>220</v>
      </c>
      <c r="G37" s="15" t="n">
        <v>6</v>
      </c>
      <c r="H37" s="20" t="n">
        <f aca="false">'Tổng quan'!$C$5+G37*7-1</f>
        <v>46355</v>
      </c>
      <c r="I37" s="23" t="s">
        <v>11</v>
      </c>
      <c r="J37" s="23" t="s">
        <v>397</v>
      </c>
      <c r="K37" s="24"/>
    </row>
    <row r="38" customFormat="false" ht="15" hidden="false" customHeight="false" outlineLevel="0" collapsed="false">
      <c r="A38" s="19" t="s">
        <v>457</v>
      </c>
      <c r="B38" s="16" t="s">
        <v>458</v>
      </c>
      <c r="C38" s="16" t="s">
        <v>433</v>
      </c>
      <c r="D38" s="12" t="s">
        <v>460</v>
      </c>
      <c r="E38" s="12" t="s">
        <v>414</v>
      </c>
      <c r="F38" s="16" t="s">
        <v>409</v>
      </c>
      <c r="G38" s="15" t="n">
        <v>6</v>
      </c>
      <c r="H38" s="20" t="n">
        <f aca="false">'Tổng quan'!$C$5+G38*7-1</f>
        <v>46355</v>
      </c>
      <c r="I38" s="23" t="s">
        <v>11</v>
      </c>
      <c r="J38" s="23" t="s">
        <v>397</v>
      </c>
      <c r="K38" s="24"/>
    </row>
    <row r="39" customFormat="false" ht="15" hidden="false" customHeight="false" outlineLevel="0" collapsed="false">
      <c r="A39" s="19" t="s">
        <v>457</v>
      </c>
      <c r="B39" s="16" t="s">
        <v>458</v>
      </c>
      <c r="C39" s="16" t="s">
        <v>433</v>
      </c>
      <c r="D39" s="9" t="s">
        <v>461</v>
      </c>
      <c r="E39" s="9" t="s">
        <v>415</v>
      </c>
      <c r="F39" s="16" t="s">
        <v>220</v>
      </c>
      <c r="G39" s="15" t="n">
        <v>6</v>
      </c>
      <c r="H39" s="20" t="n">
        <f aca="false">'Tổng quan'!$C$5+G39*7-1</f>
        <v>46355</v>
      </c>
      <c r="I39" s="23" t="s">
        <v>11</v>
      </c>
      <c r="J39" s="23" t="s">
        <v>397</v>
      </c>
      <c r="K39" s="24"/>
    </row>
    <row r="40" customFormat="false" ht="15" hidden="false" customHeight="false" outlineLevel="0" collapsed="false">
      <c r="A40" s="19" t="s">
        <v>457</v>
      </c>
      <c r="B40" s="16" t="s">
        <v>458</v>
      </c>
      <c r="C40" s="16" t="s">
        <v>433</v>
      </c>
      <c r="D40" s="12" t="s">
        <v>462</v>
      </c>
      <c r="E40" s="12" t="s">
        <v>414</v>
      </c>
      <c r="F40" s="16" t="s">
        <v>220</v>
      </c>
      <c r="G40" s="15" t="n">
        <v>6</v>
      </c>
      <c r="H40" s="20" t="n">
        <f aca="false">'Tổng quan'!$C$5+G40*7-1</f>
        <v>46355</v>
      </c>
      <c r="I40" s="23" t="s">
        <v>11</v>
      </c>
      <c r="J40" s="23" t="s">
        <v>397</v>
      </c>
      <c r="K40" s="24"/>
    </row>
    <row r="41" customFormat="false" ht="15" hidden="false" customHeight="false" outlineLevel="0" collapsed="false">
      <c r="A41" s="19" t="s">
        <v>457</v>
      </c>
      <c r="B41" s="16" t="s">
        <v>458</v>
      </c>
      <c r="C41" s="16" t="s">
        <v>433</v>
      </c>
      <c r="D41" s="9" t="s">
        <v>463</v>
      </c>
      <c r="E41" s="9" t="s">
        <v>415</v>
      </c>
      <c r="F41" s="16" t="s">
        <v>409</v>
      </c>
      <c r="G41" s="15" t="n">
        <v>6</v>
      </c>
      <c r="H41" s="20" t="n">
        <f aca="false">'Tổng quan'!$C$5+G41*7-1</f>
        <v>46355</v>
      </c>
      <c r="I41" s="23" t="s">
        <v>11</v>
      </c>
      <c r="J41" s="23" t="s">
        <v>397</v>
      </c>
      <c r="K41" s="24"/>
    </row>
    <row r="42" customFormat="false" ht="15" hidden="false" customHeight="false" outlineLevel="0" collapsed="false">
      <c r="A42" s="19" t="s">
        <v>457</v>
      </c>
      <c r="B42" s="16" t="s">
        <v>458</v>
      </c>
      <c r="C42" s="16" t="s">
        <v>433</v>
      </c>
      <c r="D42" s="9" t="s">
        <v>464</v>
      </c>
      <c r="E42" s="9" t="s">
        <v>422</v>
      </c>
      <c r="F42" s="16" t="s">
        <v>220</v>
      </c>
      <c r="G42" s="15" t="n">
        <v>6</v>
      </c>
      <c r="H42" s="20" t="n">
        <f aca="false">'Tổng quan'!$C$5+G42*7-1</f>
        <v>46355</v>
      </c>
      <c r="I42" s="23" t="s">
        <v>11</v>
      </c>
      <c r="J42" s="23" t="s">
        <v>397</v>
      </c>
      <c r="K42" s="24"/>
    </row>
    <row r="43" customFormat="false" ht="15" hidden="false" customHeight="false" outlineLevel="0" collapsed="false">
      <c r="A43" s="19" t="s">
        <v>457</v>
      </c>
      <c r="B43" s="16" t="s">
        <v>458</v>
      </c>
      <c r="C43" s="16" t="s">
        <v>433</v>
      </c>
      <c r="D43" s="12" t="s">
        <v>465</v>
      </c>
      <c r="E43" s="12" t="s">
        <v>409</v>
      </c>
      <c r="F43" s="16" t="s">
        <v>414</v>
      </c>
      <c r="G43" s="15" t="n">
        <v>6</v>
      </c>
      <c r="H43" s="20" t="n">
        <f aca="false">'Tổng quan'!$C$5+G43*7-1</f>
        <v>46355</v>
      </c>
      <c r="I43" s="23" t="s">
        <v>11</v>
      </c>
      <c r="J43" s="23" t="s">
        <v>397</v>
      </c>
      <c r="K43" s="24"/>
    </row>
    <row r="44" customFormat="false" ht="15" hidden="false" customHeight="false" outlineLevel="0" collapsed="false">
      <c r="A44" s="19" t="s">
        <v>457</v>
      </c>
      <c r="B44" s="16" t="s">
        <v>458</v>
      </c>
      <c r="C44" s="16" t="s">
        <v>433</v>
      </c>
      <c r="D44" s="9" t="s">
        <v>466</v>
      </c>
      <c r="E44" s="9" t="s">
        <v>415</v>
      </c>
      <c r="F44" s="16" t="s">
        <v>396</v>
      </c>
      <c r="G44" s="15" t="n">
        <v>6</v>
      </c>
      <c r="H44" s="20" t="n">
        <f aca="false">'Tổng quan'!$C$5+G44*7-1</f>
        <v>46355</v>
      </c>
      <c r="I44" s="23" t="s">
        <v>11</v>
      </c>
      <c r="J44" s="23" t="s">
        <v>397</v>
      </c>
      <c r="K44" s="24"/>
    </row>
    <row r="45" customFormat="false" ht="15" hidden="false" customHeight="false" outlineLevel="0" collapsed="false">
      <c r="A45" s="19" t="s">
        <v>467</v>
      </c>
      <c r="B45" s="16" t="s">
        <v>468</v>
      </c>
      <c r="C45" s="16" t="s">
        <v>38</v>
      </c>
      <c r="D45" s="12" t="s">
        <v>469</v>
      </c>
      <c r="E45" s="12" t="s">
        <v>414</v>
      </c>
      <c r="F45" s="16" t="s">
        <v>220</v>
      </c>
      <c r="G45" s="15" t="n">
        <v>7</v>
      </c>
      <c r="H45" s="20" t="n">
        <f aca="false">'Tổng quan'!$C$5+G45*7-1</f>
        <v>46362</v>
      </c>
      <c r="I45" s="23" t="s">
        <v>11</v>
      </c>
      <c r="J45" s="23" t="s">
        <v>397</v>
      </c>
      <c r="K45" s="24"/>
    </row>
    <row r="46" customFormat="false" ht="15" hidden="false" customHeight="false" outlineLevel="0" collapsed="false">
      <c r="A46" s="19" t="s">
        <v>467</v>
      </c>
      <c r="B46" s="16" t="s">
        <v>468</v>
      </c>
      <c r="C46" s="16" t="s">
        <v>38</v>
      </c>
      <c r="D46" s="12" t="s">
        <v>470</v>
      </c>
      <c r="E46" s="12" t="s">
        <v>471</v>
      </c>
      <c r="F46" s="16" t="s">
        <v>220</v>
      </c>
      <c r="G46" s="15" t="n">
        <v>7</v>
      </c>
      <c r="H46" s="20" t="n">
        <f aca="false">'Tổng quan'!$C$5+G46*7-1</f>
        <v>46362</v>
      </c>
      <c r="I46" s="23" t="s">
        <v>11</v>
      </c>
      <c r="J46" s="23" t="s">
        <v>397</v>
      </c>
      <c r="K46" s="24"/>
    </row>
    <row r="47" customFormat="false" ht="15" hidden="false" customHeight="false" outlineLevel="0" collapsed="false">
      <c r="A47" s="19" t="s">
        <v>467</v>
      </c>
      <c r="B47" s="16" t="s">
        <v>468</v>
      </c>
      <c r="C47" s="16" t="s">
        <v>38</v>
      </c>
      <c r="D47" s="12" t="s">
        <v>472</v>
      </c>
      <c r="E47" s="12" t="s">
        <v>402</v>
      </c>
      <c r="F47" s="16" t="s">
        <v>220</v>
      </c>
      <c r="G47" s="15" t="n">
        <v>7</v>
      </c>
      <c r="H47" s="20" t="n">
        <f aca="false">'Tổng quan'!$C$5+G47*7-1</f>
        <v>46362</v>
      </c>
      <c r="I47" s="23" t="s">
        <v>11</v>
      </c>
      <c r="J47" s="23" t="s">
        <v>397</v>
      </c>
      <c r="K47" s="24"/>
    </row>
    <row r="48" customFormat="false" ht="23.85" hidden="false" customHeight="false" outlineLevel="0" collapsed="false">
      <c r="A48" s="19" t="s">
        <v>467</v>
      </c>
      <c r="B48" s="16" t="s">
        <v>468</v>
      </c>
      <c r="C48" s="16" t="s">
        <v>38</v>
      </c>
      <c r="D48" s="9" t="s">
        <v>473</v>
      </c>
      <c r="E48" s="9" t="s">
        <v>424</v>
      </c>
      <c r="F48" s="16" t="s">
        <v>220</v>
      </c>
      <c r="G48" s="15" t="n">
        <v>7</v>
      </c>
      <c r="H48" s="20" t="n">
        <f aca="false">'Tổng quan'!$C$5+G48*7-1</f>
        <v>46362</v>
      </c>
      <c r="I48" s="23" t="s">
        <v>11</v>
      </c>
      <c r="J48" s="23" t="s">
        <v>397</v>
      </c>
      <c r="K48" s="24"/>
    </row>
    <row r="49" customFormat="false" ht="15" hidden="false" customHeight="false" outlineLevel="0" collapsed="false">
      <c r="A49" s="19" t="s">
        <v>467</v>
      </c>
      <c r="B49" s="16" t="s">
        <v>468</v>
      </c>
      <c r="C49" s="16" t="s">
        <v>38</v>
      </c>
      <c r="D49" s="12" t="s">
        <v>474</v>
      </c>
      <c r="E49" s="12" t="s">
        <v>409</v>
      </c>
      <c r="F49" s="16" t="s">
        <v>414</v>
      </c>
      <c r="G49" s="15" t="n">
        <v>7</v>
      </c>
      <c r="H49" s="20" t="n">
        <f aca="false">'Tổng quan'!$C$5+G49*7-1</f>
        <v>46362</v>
      </c>
      <c r="I49" s="23" t="s">
        <v>11</v>
      </c>
      <c r="J49" s="23" t="s">
        <v>397</v>
      </c>
      <c r="K49" s="24"/>
    </row>
    <row r="50" customFormat="false" ht="15" hidden="false" customHeight="false" outlineLevel="0" collapsed="false">
      <c r="A50" s="19" t="s">
        <v>475</v>
      </c>
      <c r="B50" s="16" t="s">
        <v>476</v>
      </c>
      <c r="C50" s="16" t="s">
        <v>433</v>
      </c>
      <c r="D50" s="9" t="s">
        <v>477</v>
      </c>
      <c r="E50" s="9" t="s">
        <v>396</v>
      </c>
      <c r="F50" s="16" t="s">
        <v>402</v>
      </c>
      <c r="G50" s="15" t="n">
        <v>7</v>
      </c>
      <c r="H50" s="20" t="n">
        <f aca="false">'Tổng quan'!$C$5+G50*7-1</f>
        <v>46362</v>
      </c>
      <c r="I50" s="23" t="s">
        <v>11</v>
      </c>
      <c r="J50" s="23" t="s">
        <v>397</v>
      </c>
      <c r="K50" s="24"/>
    </row>
    <row r="51" customFormat="false" ht="15" hidden="false" customHeight="false" outlineLevel="0" collapsed="false">
      <c r="A51" s="19" t="s">
        <v>475</v>
      </c>
      <c r="B51" s="16" t="s">
        <v>476</v>
      </c>
      <c r="C51" s="16" t="s">
        <v>433</v>
      </c>
      <c r="D51" s="12" t="s">
        <v>478</v>
      </c>
      <c r="E51" s="12" t="s">
        <v>402</v>
      </c>
      <c r="F51" s="16" t="s">
        <v>220</v>
      </c>
      <c r="G51" s="15" t="n">
        <v>7</v>
      </c>
      <c r="H51" s="20" t="n">
        <f aca="false">'Tổng quan'!$C$5+G51*7-1</f>
        <v>46362</v>
      </c>
      <c r="I51" s="23" t="s">
        <v>11</v>
      </c>
      <c r="J51" s="23" t="s">
        <v>397</v>
      </c>
      <c r="K51" s="24"/>
    </row>
    <row r="52" customFormat="false" ht="15" hidden="false" customHeight="false" outlineLevel="0" collapsed="false">
      <c r="A52" s="19" t="s">
        <v>475</v>
      </c>
      <c r="B52" s="16" t="s">
        <v>476</v>
      </c>
      <c r="C52" s="16" t="s">
        <v>433</v>
      </c>
      <c r="D52" s="12" t="s">
        <v>479</v>
      </c>
      <c r="E52" s="12" t="s">
        <v>409</v>
      </c>
      <c r="F52" s="16" t="s">
        <v>402</v>
      </c>
      <c r="G52" s="15" t="n">
        <v>7</v>
      </c>
      <c r="H52" s="20" t="n">
        <f aca="false">'Tổng quan'!$C$5+G52*7-1</f>
        <v>46362</v>
      </c>
      <c r="I52" s="23" t="s">
        <v>11</v>
      </c>
      <c r="J52" s="23" t="s">
        <v>397</v>
      </c>
      <c r="K52" s="24"/>
    </row>
    <row r="53" customFormat="false" ht="15" hidden="false" customHeight="false" outlineLevel="0" collapsed="false">
      <c r="A53" s="19" t="s">
        <v>475</v>
      </c>
      <c r="B53" s="16" t="s">
        <v>476</v>
      </c>
      <c r="C53" s="16" t="s">
        <v>433</v>
      </c>
      <c r="D53" s="12" t="s">
        <v>480</v>
      </c>
      <c r="E53" s="12" t="s">
        <v>402</v>
      </c>
      <c r="F53" s="16" t="s">
        <v>414</v>
      </c>
      <c r="G53" s="15" t="n">
        <v>7</v>
      </c>
      <c r="H53" s="20" t="n">
        <f aca="false">'Tổng quan'!$C$5+G53*7-1</f>
        <v>46362</v>
      </c>
      <c r="I53" s="23" t="s">
        <v>11</v>
      </c>
      <c r="J53" s="23" t="s">
        <v>397</v>
      </c>
      <c r="K53" s="24"/>
    </row>
    <row r="54" customFormat="false" ht="15" hidden="false" customHeight="false" outlineLevel="0" collapsed="false">
      <c r="A54" s="19" t="s">
        <v>475</v>
      </c>
      <c r="B54" s="16" t="s">
        <v>476</v>
      </c>
      <c r="C54" s="16" t="s">
        <v>433</v>
      </c>
      <c r="D54" s="9" t="s">
        <v>481</v>
      </c>
      <c r="E54" s="9" t="s">
        <v>396</v>
      </c>
      <c r="F54" s="16" t="s">
        <v>424</v>
      </c>
      <c r="G54" s="15" t="n">
        <v>7</v>
      </c>
      <c r="H54" s="20" t="n">
        <f aca="false">'Tổng quan'!$C$5+G54*7-1</f>
        <v>46362</v>
      </c>
      <c r="I54" s="23" t="s">
        <v>11</v>
      </c>
      <c r="J54" s="23" t="s">
        <v>397</v>
      </c>
      <c r="K54" s="24"/>
    </row>
    <row r="55" customFormat="false" ht="15" hidden="false" customHeight="false" outlineLevel="0" collapsed="false">
      <c r="A55" s="19" t="s">
        <v>475</v>
      </c>
      <c r="B55" s="16" t="s">
        <v>476</v>
      </c>
      <c r="C55" s="16" t="s">
        <v>433</v>
      </c>
      <c r="D55" s="12" t="s">
        <v>482</v>
      </c>
      <c r="E55" s="12" t="s">
        <v>402</v>
      </c>
      <c r="F55" s="16" t="s">
        <v>409</v>
      </c>
      <c r="G55" s="15" t="n">
        <v>7</v>
      </c>
      <c r="H55" s="20" t="n">
        <f aca="false">'Tổng quan'!$C$5+G55*7-1</f>
        <v>46362</v>
      </c>
      <c r="I55" s="23" t="s">
        <v>11</v>
      </c>
      <c r="J55" s="23" t="s">
        <v>397</v>
      </c>
      <c r="K55" s="24"/>
    </row>
    <row r="56" customFormat="false" ht="23.85" hidden="false" customHeight="false" outlineLevel="0" collapsed="false">
      <c r="A56" s="19" t="s">
        <v>475</v>
      </c>
      <c r="B56" s="16" t="s">
        <v>476</v>
      </c>
      <c r="C56" s="16" t="s">
        <v>433</v>
      </c>
      <c r="D56" s="9" t="s">
        <v>483</v>
      </c>
      <c r="E56" s="9" t="s">
        <v>396</v>
      </c>
      <c r="F56" s="16" t="s">
        <v>484</v>
      </c>
      <c r="G56" s="15" t="n">
        <v>7</v>
      </c>
      <c r="H56" s="20" t="n">
        <f aca="false">'Tổng quan'!$C$5+G56*7-1</f>
        <v>46362</v>
      </c>
      <c r="I56" s="23" t="s">
        <v>11</v>
      </c>
      <c r="J56" s="23" t="s">
        <v>397</v>
      </c>
      <c r="K56" s="24"/>
    </row>
    <row r="57" customFormat="false" ht="15" hidden="false" customHeight="false" outlineLevel="0" collapsed="false">
      <c r="A57" s="19" t="s">
        <v>475</v>
      </c>
      <c r="B57" s="16" t="s">
        <v>476</v>
      </c>
      <c r="C57" s="16" t="s">
        <v>433</v>
      </c>
      <c r="D57" s="12" t="s">
        <v>485</v>
      </c>
      <c r="E57" s="12" t="s">
        <v>414</v>
      </c>
      <c r="F57" s="16" t="s">
        <v>396</v>
      </c>
      <c r="G57" s="15" t="n">
        <v>7</v>
      </c>
      <c r="H57" s="20" t="n">
        <f aca="false">'Tổng quan'!$C$5+G57*7-1</f>
        <v>46362</v>
      </c>
      <c r="I57" s="23" t="s">
        <v>11</v>
      </c>
      <c r="J57" s="23" t="s">
        <v>397</v>
      </c>
      <c r="K57" s="24"/>
    </row>
    <row r="58" customFormat="false" ht="15" hidden="false" customHeight="false" outlineLevel="0" collapsed="false">
      <c r="A58" s="19" t="s">
        <v>475</v>
      </c>
      <c r="B58" s="16" t="s">
        <v>476</v>
      </c>
      <c r="C58" s="16" t="s">
        <v>433</v>
      </c>
      <c r="D58" s="9" t="s">
        <v>486</v>
      </c>
      <c r="E58" s="9" t="s">
        <v>396</v>
      </c>
      <c r="F58" s="16" t="s">
        <v>220</v>
      </c>
      <c r="G58" s="15" t="n">
        <v>7</v>
      </c>
      <c r="H58" s="20" t="n">
        <f aca="false">'Tổng quan'!$C$5+G58*7-1</f>
        <v>46362</v>
      </c>
      <c r="I58" s="23" t="s">
        <v>11</v>
      </c>
      <c r="J58" s="23" t="s">
        <v>397</v>
      </c>
      <c r="K58" s="24"/>
    </row>
    <row r="59" customFormat="false" ht="23.85" hidden="false" customHeight="false" outlineLevel="0" collapsed="false">
      <c r="A59" s="19" t="s">
        <v>487</v>
      </c>
      <c r="B59" s="16" t="s">
        <v>488</v>
      </c>
      <c r="C59" s="16" t="s">
        <v>489</v>
      </c>
      <c r="D59" s="9" t="s">
        <v>490</v>
      </c>
      <c r="E59" s="9" t="s">
        <v>396</v>
      </c>
      <c r="F59" s="16" t="s">
        <v>220</v>
      </c>
      <c r="G59" s="15" t="n">
        <v>1</v>
      </c>
      <c r="H59" s="20" t="n">
        <f aca="false">'Tổng quan'!$C$5+G59*7-1</f>
        <v>46320</v>
      </c>
      <c r="I59" s="23" t="s">
        <v>11</v>
      </c>
      <c r="J59" s="23" t="s">
        <v>397</v>
      </c>
      <c r="K59" s="24"/>
    </row>
    <row r="60" customFormat="false" ht="23.85" hidden="false" customHeight="false" outlineLevel="0" collapsed="false">
      <c r="A60" s="19" t="s">
        <v>487</v>
      </c>
      <c r="B60" s="16" t="s">
        <v>488</v>
      </c>
      <c r="C60" s="16" t="s">
        <v>489</v>
      </c>
      <c r="D60" s="9" t="s">
        <v>491</v>
      </c>
      <c r="E60" s="9" t="s">
        <v>396</v>
      </c>
      <c r="F60" s="16" t="s">
        <v>402</v>
      </c>
      <c r="G60" s="15" t="n">
        <v>7</v>
      </c>
      <c r="H60" s="20" t="n">
        <f aca="false">'Tổng quan'!$C$5+G60*7-1</f>
        <v>46362</v>
      </c>
      <c r="I60" s="23" t="s">
        <v>11</v>
      </c>
      <c r="J60" s="23" t="s">
        <v>397</v>
      </c>
      <c r="K60" s="24"/>
    </row>
    <row r="61" customFormat="false" ht="23.85" hidden="false" customHeight="false" outlineLevel="0" collapsed="false">
      <c r="A61" s="19" t="s">
        <v>487</v>
      </c>
      <c r="B61" s="16" t="s">
        <v>488</v>
      </c>
      <c r="C61" s="16" t="s">
        <v>489</v>
      </c>
      <c r="D61" s="9" t="s">
        <v>492</v>
      </c>
      <c r="E61" s="9" t="s">
        <v>396</v>
      </c>
      <c r="F61" s="16" t="s">
        <v>484</v>
      </c>
      <c r="G61" s="15" t="n">
        <v>7</v>
      </c>
      <c r="H61" s="20" t="n">
        <f aca="false">'Tổng quan'!$C$5+G61*7-1</f>
        <v>46362</v>
      </c>
      <c r="I61" s="23" t="s">
        <v>11</v>
      </c>
      <c r="J61" s="23" t="s">
        <v>397</v>
      </c>
      <c r="K61" s="24"/>
    </row>
    <row r="62" customFormat="false" ht="23.85" hidden="false" customHeight="false" outlineLevel="0" collapsed="false">
      <c r="A62" s="19" t="s">
        <v>487</v>
      </c>
      <c r="B62" s="16" t="s">
        <v>488</v>
      </c>
      <c r="C62" s="16" t="s">
        <v>489</v>
      </c>
      <c r="D62" s="9" t="s">
        <v>493</v>
      </c>
      <c r="E62" s="9" t="s">
        <v>396</v>
      </c>
      <c r="F62" s="16" t="s">
        <v>402</v>
      </c>
      <c r="G62" s="15" t="n">
        <v>7</v>
      </c>
      <c r="H62" s="20" t="n">
        <f aca="false">'Tổng quan'!$C$5+G62*7-1</f>
        <v>46362</v>
      </c>
      <c r="I62" s="23" t="s">
        <v>11</v>
      </c>
      <c r="J62" s="23" t="s">
        <v>397</v>
      </c>
      <c r="K62" s="24"/>
    </row>
    <row r="63" customFormat="false" ht="23.85" hidden="false" customHeight="false" outlineLevel="0" collapsed="false">
      <c r="A63" s="19" t="s">
        <v>487</v>
      </c>
      <c r="B63" s="16" t="s">
        <v>488</v>
      </c>
      <c r="C63" s="16" t="s">
        <v>489</v>
      </c>
      <c r="D63" s="9" t="s">
        <v>494</v>
      </c>
      <c r="E63" s="9" t="s">
        <v>396</v>
      </c>
      <c r="F63" s="16" t="s">
        <v>220</v>
      </c>
      <c r="G63" s="15" t="n">
        <v>7</v>
      </c>
      <c r="H63" s="20" t="n">
        <f aca="false">'Tổng quan'!$C$5+G63*7-1</f>
        <v>46362</v>
      </c>
      <c r="I63" s="23" t="s">
        <v>11</v>
      </c>
      <c r="J63" s="23" t="s">
        <v>397</v>
      </c>
      <c r="K63" s="24"/>
    </row>
    <row r="64" customFormat="false" ht="15" hidden="false" customHeight="false" outlineLevel="0" collapsed="false">
      <c r="A64" s="19" t="s">
        <v>495</v>
      </c>
      <c r="B64" s="16" t="s">
        <v>496</v>
      </c>
      <c r="C64" s="16" t="s">
        <v>433</v>
      </c>
      <c r="D64" s="12" t="s">
        <v>497</v>
      </c>
      <c r="E64" s="12" t="s">
        <v>402</v>
      </c>
      <c r="F64" s="16" t="s">
        <v>220</v>
      </c>
      <c r="G64" s="15" t="n">
        <v>7</v>
      </c>
      <c r="H64" s="20" t="n">
        <f aca="false">'Tổng quan'!$C$5+G64*7-1</f>
        <v>46362</v>
      </c>
      <c r="I64" s="23" t="s">
        <v>11</v>
      </c>
      <c r="J64" s="23" t="s">
        <v>397</v>
      </c>
      <c r="K64" s="24"/>
    </row>
    <row r="65" customFormat="false" ht="15" hidden="false" customHeight="false" outlineLevel="0" collapsed="false">
      <c r="A65" s="19" t="s">
        <v>495</v>
      </c>
      <c r="B65" s="16" t="s">
        <v>496</v>
      </c>
      <c r="C65" s="16" t="s">
        <v>433</v>
      </c>
      <c r="D65" s="12" t="s">
        <v>498</v>
      </c>
      <c r="E65" s="12" t="s">
        <v>409</v>
      </c>
      <c r="F65" s="16" t="s">
        <v>220</v>
      </c>
      <c r="G65" s="15" t="n">
        <v>7</v>
      </c>
      <c r="H65" s="20" t="n">
        <f aca="false">'Tổng quan'!$C$5+G65*7-1</f>
        <v>46362</v>
      </c>
      <c r="I65" s="23" t="s">
        <v>11</v>
      </c>
      <c r="J65" s="23" t="s">
        <v>397</v>
      </c>
      <c r="K65" s="24"/>
    </row>
    <row r="66" customFormat="false" ht="15" hidden="false" customHeight="false" outlineLevel="0" collapsed="false">
      <c r="A66" s="19" t="s">
        <v>495</v>
      </c>
      <c r="B66" s="16" t="s">
        <v>496</v>
      </c>
      <c r="C66" s="16" t="s">
        <v>433</v>
      </c>
      <c r="D66" s="9" t="s">
        <v>499</v>
      </c>
      <c r="E66" s="9" t="s">
        <v>396</v>
      </c>
      <c r="F66" s="16" t="s">
        <v>220</v>
      </c>
      <c r="G66" s="15" t="n">
        <v>7</v>
      </c>
      <c r="H66" s="20" t="n">
        <f aca="false">'Tổng quan'!$C$5+G66*7-1</f>
        <v>46362</v>
      </c>
      <c r="I66" s="23" t="s">
        <v>11</v>
      </c>
      <c r="J66" s="23" t="s">
        <v>397</v>
      </c>
      <c r="K66" s="24"/>
    </row>
    <row r="67" customFormat="false" ht="15" hidden="false" customHeight="false" outlineLevel="0" collapsed="false">
      <c r="A67" s="19" t="s">
        <v>495</v>
      </c>
      <c r="B67" s="16" t="s">
        <v>496</v>
      </c>
      <c r="C67" s="16" t="s">
        <v>433</v>
      </c>
      <c r="D67" s="9" t="s">
        <v>500</v>
      </c>
      <c r="E67" s="9" t="s">
        <v>501</v>
      </c>
      <c r="F67" s="16" t="s">
        <v>404</v>
      </c>
      <c r="G67" s="15" t="n">
        <v>7</v>
      </c>
      <c r="H67" s="20" t="n">
        <f aca="false">'Tổng quan'!$C$5+G67*7-1</f>
        <v>46362</v>
      </c>
      <c r="I67" s="23" t="s">
        <v>11</v>
      </c>
      <c r="J67" s="23" t="s">
        <v>397</v>
      </c>
      <c r="K67" s="24"/>
    </row>
    <row r="68" customFormat="false" ht="15" hidden="false" customHeight="false" outlineLevel="0" collapsed="false">
      <c r="A68" s="19" t="s">
        <v>495</v>
      </c>
      <c r="B68" s="16" t="s">
        <v>496</v>
      </c>
      <c r="C68" s="16" t="s">
        <v>433</v>
      </c>
      <c r="D68" s="12" t="s">
        <v>502</v>
      </c>
      <c r="E68" s="12" t="s">
        <v>402</v>
      </c>
      <c r="F68" s="16" t="s">
        <v>414</v>
      </c>
      <c r="G68" s="15" t="n">
        <v>7</v>
      </c>
      <c r="H68" s="20" t="n">
        <f aca="false">'Tổng quan'!$C$5+G68*7-1</f>
        <v>46362</v>
      </c>
      <c r="I68" s="23" t="s">
        <v>11</v>
      </c>
      <c r="J68" s="23" t="s">
        <v>397</v>
      </c>
      <c r="K68" s="24"/>
    </row>
    <row r="69" customFormat="false" ht="15" hidden="false" customHeight="false" outlineLevel="0" collapsed="false">
      <c r="A69" s="19" t="s">
        <v>495</v>
      </c>
      <c r="B69" s="16" t="s">
        <v>496</v>
      </c>
      <c r="C69" s="16" t="s">
        <v>433</v>
      </c>
      <c r="D69" s="9" t="s">
        <v>503</v>
      </c>
      <c r="E69" s="9" t="s">
        <v>404</v>
      </c>
      <c r="F69" s="16" t="s">
        <v>422</v>
      </c>
      <c r="G69" s="15" t="n">
        <v>7</v>
      </c>
      <c r="H69" s="20" t="n">
        <f aca="false">'Tổng quan'!$C$5+G69*7-1</f>
        <v>46362</v>
      </c>
      <c r="I69" s="23" t="s">
        <v>11</v>
      </c>
      <c r="J69" s="23" t="s">
        <v>397</v>
      </c>
      <c r="K69" s="24"/>
    </row>
    <row r="70" customFormat="false" ht="15" hidden="false" customHeight="false" outlineLevel="0" collapsed="false">
      <c r="A70" s="19" t="s">
        <v>495</v>
      </c>
      <c r="B70" s="16" t="s">
        <v>496</v>
      </c>
      <c r="C70" s="16" t="s">
        <v>433</v>
      </c>
      <c r="D70" s="9" t="s">
        <v>504</v>
      </c>
      <c r="E70" s="9" t="s">
        <v>505</v>
      </c>
      <c r="F70" s="16" t="s">
        <v>220</v>
      </c>
      <c r="G70" s="15" t="n">
        <v>7</v>
      </c>
      <c r="H70" s="20" t="n">
        <f aca="false">'Tổng quan'!$C$5+G70*7-1</f>
        <v>46362</v>
      </c>
      <c r="I70" s="23" t="s">
        <v>11</v>
      </c>
      <c r="J70" s="23" t="s">
        <v>397</v>
      </c>
      <c r="K70" s="24"/>
    </row>
    <row r="71" customFormat="false" ht="15" hidden="false" customHeight="false" outlineLevel="0" collapsed="false">
      <c r="A71" s="19" t="s">
        <v>495</v>
      </c>
      <c r="B71" s="16" t="s">
        <v>496</v>
      </c>
      <c r="C71" s="16" t="s">
        <v>433</v>
      </c>
      <c r="D71" s="9" t="s">
        <v>506</v>
      </c>
      <c r="E71" s="9" t="s">
        <v>396</v>
      </c>
      <c r="F71" s="16" t="s">
        <v>220</v>
      </c>
      <c r="G71" s="15" t="n">
        <v>7</v>
      </c>
      <c r="H71" s="20" t="n">
        <f aca="false">'Tổng quan'!$C$5+G71*7-1</f>
        <v>46362</v>
      </c>
      <c r="I71" s="23" t="s">
        <v>11</v>
      </c>
      <c r="J71" s="23" t="s">
        <v>397</v>
      </c>
      <c r="K71" s="24"/>
    </row>
    <row r="73" customFormat="false" ht="15" hidden="false" customHeight="false" outlineLevel="0" collapsed="false">
      <c r="A73" s="25" t="s">
        <v>507</v>
      </c>
    </row>
  </sheetData>
  <autoFilter ref="A1:K71"/>
  <conditionalFormatting sqref="I2:I71">
    <cfRule type="expression" priority="2" aboveAverage="0" equalAverage="0" bottom="0" percent="0" rank="0" text="" dxfId="11">
      <formula>I2="Approved"</formula>
    </cfRule>
    <cfRule type="expression" priority="3" aboveAverage="0" equalAverage="0" bottom="0" percent="0" rank="0" text="" dxfId="12">
      <formula>I2="Reviewed"</formula>
    </cfRule>
  </conditionalFormatting>
  <dataValidations count="1">
    <dataValidation allowBlank="true" errorStyle="stop" operator="between" showDropDown="false" showErrorMessage="false" showInputMessage="false" sqref="I2:I71" type="list">
      <formula1>"Not started,Draft,Reviewed,Approved"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30"/>
    <col collapsed="false" customWidth="true" hidden="false" outlineLevel="0" max="10" min="4" style="0" width="28"/>
  </cols>
  <sheetData>
    <row r="1" customFormat="false" ht="42" hidden="false" customHeight="true" outlineLevel="0" collapsed="false">
      <c r="A1" s="6" t="s">
        <v>82</v>
      </c>
      <c r="B1" s="6" t="s">
        <v>83</v>
      </c>
      <c r="C1" s="6" t="s">
        <v>508</v>
      </c>
      <c r="D1" s="6" t="s">
        <v>509</v>
      </c>
      <c r="E1" s="6" t="s">
        <v>510</v>
      </c>
      <c r="F1" s="6" t="s">
        <v>511</v>
      </c>
      <c r="G1" s="6" t="s">
        <v>512</v>
      </c>
      <c r="H1" s="6" t="s">
        <v>513</v>
      </c>
      <c r="I1" s="6" t="s">
        <v>514</v>
      </c>
      <c r="J1" s="6" t="s">
        <v>515</v>
      </c>
    </row>
    <row r="2" customFormat="false" ht="105" hidden="false" customHeight="true" outlineLevel="0" collapsed="false">
      <c r="A2" s="26" t="n">
        <v>1</v>
      </c>
      <c r="B2" s="27" t="n">
        <f aca="false">'Tổng quan'!$C$5+(A2-1)*7</f>
        <v>46314</v>
      </c>
      <c r="C2" s="28" t="s">
        <v>96</v>
      </c>
      <c r="D2" s="29" t="s">
        <v>516</v>
      </c>
      <c r="E2" s="29" t="s">
        <v>517</v>
      </c>
      <c r="F2" s="29" t="s">
        <v>518</v>
      </c>
      <c r="G2" s="29" t="s">
        <v>519</v>
      </c>
      <c r="H2" s="30" t="s">
        <v>520</v>
      </c>
      <c r="I2" s="30" t="s">
        <v>521</v>
      </c>
      <c r="J2" s="30" t="s">
        <v>522</v>
      </c>
    </row>
    <row r="3" customFormat="false" ht="105" hidden="false" customHeight="true" outlineLevel="0" collapsed="false">
      <c r="A3" s="26" t="n">
        <v>2</v>
      </c>
      <c r="B3" s="27" t="n">
        <f aca="false">'Tổng quan'!$C$5+(A3-1)*7</f>
        <v>46321</v>
      </c>
      <c r="C3" s="28" t="s">
        <v>139</v>
      </c>
      <c r="D3" s="29" t="s">
        <v>523</v>
      </c>
      <c r="E3" s="29" t="s">
        <v>524</v>
      </c>
      <c r="F3" s="29" t="s">
        <v>525</v>
      </c>
      <c r="G3" s="29" t="s">
        <v>526</v>
      </c>
      <c r="H3" s="30" t="s">
        <v>527</v>
      </c>
      <c r="I3" s="30" t="s">
        <v>528</v>
      </c>
      <c r="J3" s="30" t="s">
        <v>529</v>
      </c>
    </row>
    <row r="4" customFormat="false" ht="105" hidden="false" customHeight="true" outlineLevel="0" collapsed="false">
      <c r="A4" s="26" t="n">
        <v>3</v>
      </c>
      <c r="B4" s="27" t="n">
        <f aca="false">'Tổng quan'!$C$5+(A4-1)*7</f>
        <v>46328</v>
      </c>
      <c r="C4" s="28" t="s">
        <v>182</v>
      </c>
      <c r="D4" s="29" t="s">
        <v>530</v>
      </c>
      <c r="E4" s="29" t="s">
        <v>531</v>
      </c>
      <c r="F4" s="29" t="s">
        <v>532</v>
      </c>
      <c r="G4" s="29" t="s">
        <v>533</v>
      </c>
      <c r="H4" s="30" t="s">
        <v>534</v>
      </c>
      <c r="I4" s="30" t="s">
        <v>535</v>
      </c>
      <c r="J4" s="30" t="s">
        <v>536</v>
      </c>
    </row>
    <row r="5" customFormat="false" ht="105" hidden="false" customHeight="true" outlineLevel="0" collapsed="false">
      <c r="A5" s="26" t="n">
        <v>4</v>
      </c>
      <c r="B5" s="27" t="n">
        <f aca="false">'Tổng quan'!$C$5+(A5-1)*7</f>
        <v>46335</v>
      </c>
      <c r="C5" s="28" t="s">
        <v>223</v>
      </c>
      <c r="D5" s="29" t="s">
        <v>537</v>
      </c>
      <c r="E5" s="29" t="s">
        <v>538</v>
      </c>
      <c r="F5" s="29" t="s">
        <v>539</v>
      </c>
      <c r="G5" s="29" t="s">
        <v>540</v>
      </c>
      <c r="H5" s="30" t="s">
        <v>541</v>
      </c>
      <c r="I5" s="30" t="s">
        <v>542</v>
      </c>
      <c r="J5" s="30" t="s">
        <v>543</v>
      </c>
    </row>
    <row r="6" customFormat="false" ht="105" hidden="false" customHeight="true" outlineLevel="0" collapsed="false">
      <c r="A6" s="26" t="n">
        <v>5</v>
      </c>
      <c r="B6" s="27" t="n">
        <f aca="false">'Tổng quan'!$C$5+(A6-1)*7</f>
        <v>46342</v>
      </c>
      <c r="C6" s="28" t="s">
        <v>261</v>
      </c>
      <c r="D6" s="29" t="s">
        <v>544</v>
      </c>
      <c r="E6" s="29" t="s">
        <v>545</v>
      </c>
      <c r="F6" s="29" t="s">
        <v>546</v>
      </c>
      <c r="G6" s="29" t="s">
        <v>547</v>
      </c>
      <c r="H6" s="30" t="s">
        <v>548</v>
      </c>
      <c r="I6" s="30" t="s">
        <v>549</v>
      </c>
      <c r="J6" s="30" t="s">
        <v>550</v>
      </c>
    </row>
    <row r="7" customFormat="false" ht="105" hidden="false" customHeight="true" outlineLevel="0" collapsed="false">
      <c r="A7" s="26" t="n">
        <v>6</v>
      </c>
      <c r="B7" s="27" t="n">
        <f aca="false">'Tổng quan'!$C$5+(A7-1)*7</f>
        <v>46349</v>
      </c>
      <c r="C7" s="28" t="s">
        <v>302</v>
      </c>
      <c r="D7" s="29" t="s">
        <v>551</v>
      </c>
      <c r="E7" s="29" t="s">
        <v>552</v>
      </c>
      <c r="F7" s="29" t="s">
        <v>553</v>
      </c>
      <c r="G7" s="29" t="s">
        <v>554</v>
      </c>
      <c r="H7" s="30" t="s">
        <v>555</v>
      </c>
      <c r="I7" s="30" t="s">
        <v>556</v>
      </c>
      <c r="J7" s="30" t="s">
        <v>557</v>
      </c>
    </row>
    <row r="8" customFormat="false" ht="105" hidden="false" customHeight="true" outlineLevel="0" collapsed="false">
      <c r="A8" s="26" t="n">
        <v>7</v>
      </c>
      <c r="B8" s="27" t="n">
        <f aca="false">'Tổng quan'!$C$5+(A8-1)*7</f>
        <v>46356</v>
      </c>
      <c r="C8" s="28" t="s">
        <v>343</v>
      </c>
      <c r="D8" s="29" t="s">
        <v>558</v>
      </c>
      <c r="E8" s="29" t="s">
        <v>559</v>
      </c>
      <c r="F8" s="29" t="s">
        <v>560</v>
      </c>
      <c r="G8" s="29" t="s">
        <v>561</v>
      </c>
      <c r="H8" s="30" t="s">
        <v>562</v>
      </c>
      <c r="I8" s="30" t="s">
        <v>563</v>
      </c>
      <c r="J8" s="30" t="s">
        <v>564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3" min="3" style="0" width="32"/>
    <col collapsed="false" customWidth="true" hidden="false" outlineLevel="0" max="6" min="4" style="0" width="40"/>
    <col collapsed="false" customWidth="true" hidden="false" outlineLevel="0" max="7" min="7" style="0" width="14"/>
  </cols>
  <sheetData>
    <row r="1" customFormat="false" ht="30" hidden="false" customHeight="true" outlineLevel="0" collapsed="false">
      <c r="A1" s="6" t="s">
        <v>565</v>
      </c>
      <c r="B1" s="6" t="s">
        <v>83</v>
      </c>
      <c r="C1" s="6" t="s">
        <v>566</v>
      </c>
      <c r="D1" s="6" t="s">
        <v>567</v>
      </c>
      <c r="E1" s="6" t="s">
        <v>568</v>
      </c>
      <c r="F1" s="6" t="s">
        <v>569</v>
      </c>
      <c r="G1" s="6" t="s">
        <v>570</v>
      </c>
    </row>
    <row r="2" customFormat="false" ht="60" hidden="false" customHeight="true" outlineLevel="0" collapsed="false">
      <c r="A2" s="19" t="n">
        <v>1</v>
      </c>
      <c r="B2" s="20" t="n">
        <f aca="false">'Tổng quan'!$C$5+(A2-1)*7</f>
        <v>46314</v>
      </c>
      <c r="C2" s="16" t="s">
        <v>571</v>
      </c>
      <c r="D2" s="12" t="s">
        <v>572</v>
      </c>
      <c r="E2" s="9" t="s">
        <v>573</v>
      </c>
      <c r="F2" s="16" t="s">
        <v>574</v>
      </c>
      <c r="G2" s="23" t="s">
        <v>575</v>
      </c>
    </row>
    <row r="3" customFormat="false" ht="60" hidden="false" customHeight="true" outlineLevel="0" collapsed="false">
      <c r="A3" s="19" t="n">
        <v>2</v>
      </c>
      <c r="B3" s="20" t="n">
        <f aca="false">'Tổng quan'!$C$5+(A3-1)*7</f>
        <v>46321</v>
      </c>
      <c r="C3" s="16" t="s">
        <v>576</v>
      </c>
      <c r="D3" s="12" t="s">
        <v>577</v>
      </c>
      <c r="E3" s="9" t="s">
        <v>578</v>
      </c>
      <c r="F3" s="16" t="s">
        <v>579</v>
      </c>
      <c r="G3" s="23" t="s">
        <v>575</v>
      </c>
    </row>
    <row r="4" customFormat="false" ht="60" hidden="false" customHeight="true" outlineLevel="0" collapsed="false">
      <c r="A4" s="19" t="n">
        <v>3</v>
      </c>
      <c r="B4" s="20" t="n">
        <f aca="false">'Tổng quan'!$C$5+(A4-1)*7</f>
        <v>46328</v>
      </c>
      <c r="C4" s="16" t="s">
        <v>580</v>
      </c>
      <c r="D4" s="12" t="s">
        <v>581</v>
      </c>
      <c r="E4" s="9" t="s">
        <v>582</v>
      </c>
      <c r="F4" s="16" t="s">
        <v>583</v>
      </c>
      <c r="G4" s="23" t="s">
        <v>575</v>
      </c>
    </row>
    <row r="5" customFormat="false" ht="60" hidden="false" customHeight="true" outlineLevel="0" collapsed="false">
      <c r="A5" s="19" t="n">
        <v>4</v>
      </c>
      <c r="B5" s="20" t="n">
        <f aca="false">'Tổng quan'!$C$5+(A5-1)*7</f>
        <v>46335</v>
      </c>
      <c r="C5" s="16" t="s">
        <v>584</v>
      </c>
      <c r="D5" s="12" t="s">
        <v>585</v>
      </c>
      <c r="E5" s="9" t="s">
        <v>586</v>
      </c>
      <c r="F5" s="16" t="s">
        <v>587</v>
      </c>
      <c r="G5" s="23" t="s">
        <v>575</v>
      </c>
    </row>
    <row r="6" customFormat="false" ht="60" hidden="false" customHeight="true" outlineLevel="0" collapsed="false">
      <c r="A6" s="19" t="n">
        <v>5</v>
      </c>
      <c r="B6" s="20" t="n">
        <f aca="false">'Tổng quan'!$C$5+(A6-1)*7</f>
        <v>46342</v>
      </c>
      <c r="C6" s="16" t="s">
        <v>588</v>
      </c>
      <c r="D6" s="12" t="s">
        <v>589</v>
      </c>
      <c r="E6" s="9" t="s">
        <v>590</v>
      </c>
      <c r="F6" s="16" t="s">
        <v>591</v>
      </c>
      <c r="G6" s="23" t="s">
        <v>575</v>
      </c>
    </row>
    <row r="7" customFormat="false" ht="60" hidden="false" customHeight="true" outlineLevel="0" collapsed="false">
      <c r="A7" s="19" t="n">
        <v>6</v>
      </c>
      <c r="B7" s="20" t="n">
        <f aca="false">'Tổng quan'!$C$5+(A7-1)*7</f>
        <v>46349</v>
      </c>
      <c r="C7" s="16" t="s">
        <v>592</v>
      </c>
      <c r="D7" s="12" t="s">
        <v>593</v>
      </c>
      <c r="E7" s="9" t="s">
        <v>594</v>
      </c>
      <c r="F7" s="16" t="s">
        <v>595</v>
      </c>
      <c r="G7" s="23" t="s">
        <v>575</v>
      </c>
    </row>
    <row r="8" customFormat="false" ht="60" hidden="false" customHeight="true" outlineLevel="0" collapsed="false">
      <c r="A8" s="19" t="n">
        <v>7</v>
      </c>
      <c r="B8" s="20" t="n">
        <f aca="false">'Tổng quan'!$C$5+(A8-1)*7</f>
        <v>46356</v>
      </c>
      <c r="C8" s="16" t="s">
        <v>596</v>
      </c>
      <c r="D8" s="12" t="s">
        <v>597</v>
      </c>
      <c r="E8" s="9" t="s">
        <v>598</v>
      </c>
      <c r="F8" s="16" t="s">
        <v>599</v>
      </c>
      <c r="G8" s="23" t="s">
        <v>575</v>
      </c>
    </row>
  </sheetData>
  <dataValidations count="1">
    <dataValidation allowBlank="true" errorStyle="stop" operator="between" showDropDown="false" showErrorMessage="false" showInputMessage="false" sqref="G2:G8" type="list">
      <formula1>"Pending,Submitted,Reviewed,Approved"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8" min="2" style="0" width="13"/>
  </cols>
  <sheetData>
    <row r="1" customFormat="false" ht="36" hidden="false" customHeight="true" outlineLevel="0" collapsed="false">
      <c r="A1" s="6" t="s">
        <v>600</v>
      </c>
      <c r="B1" s="6" t="s">
        <v>601</v>
      </c>
      <c r="C1" s="6" t="s">
        <v>602</v>
      </c>
      <c r="D1" s="6" t="s">
        <v>603</v>
      </c>
      <c r="E1" s="6" t="s">
        <v>604</v>
      </c>
      <c r="F1" s="6" t="s">
        <v>605</v>
      </c>
      <c r="G1" s="6" t="s">
        <v>606</v>
      </c>
      <c r="H1" s="6" t="s">
        <v>607</v>
      </c>
    </row>
    <row r="2" customFormat="false" ht="15" hidden="false" customHeight="false" outlineLevel="0" collapsed="false">
      <c r="A2" s="22" t="s">
        <v>608</v>
      </c>
      <c r="B2" s="15" t="s">
        <v>609</v>
      </c>
      <c r="C2" s="15" t="s">
        <v>609</v>
      </c>
      <c r="D2" s="15" t="s">
        <v>610</v>
      </c>
      <c r="E2" s="15" t="s">
        <v>610</v>
      </c>
      <c r="F2" s="31" t="s">
        <v>611</v>
      </c>
      <c r="G2" s="7" t="s">
        <v>612</v>
      </c>
      <c r="H2" s="15" t="s">
        <v>609</v>
      </c>
    </row>
    <row r="3" customFormat="false" ht="15" hidden="false" customHeight="false" outlineLevel="0" collapsed="false">
      <c r="A3" s="22" t="s">
        <v>613</v>
      </c>
      <c r="B3" s="31" t="s">
        <v>611</v>
      </c>
      <c r="C3" s="7" t="s">
        <v>612</v>
      </c>
      <c r="D3" s="7" t="s">
        <v>612</v>
      </c>
      <c r="E3" s="7" t="s">
        <v>612</v>
      </c>
      <c r="F3" s="15" t="s">
        <v>609</v>
      </c>
      <c r="G3" s="15" t="s">
        <v>609</v>
      </c>
      <c r="H3" s="15" t="s">
        <v>610</v>
      </c>
    </row>
    <row r="4" customFormat="false" ht="15" hidden="false" customHeight="false" outlineLevel="0" collapsed="false">
      <c r="A4" s="22" t="s">
        <v>614</v>
      </c>
      <c r="B4" s="15" t="s">
        <v>609</v>
      </c>
      <c r="C4" s="15" t="s">
        <v>609</v>
      </c>
      <c r="D4" s="7" t="s">
        <v>612</v>
      </c>
      <c r="E4" s="7" t="s">
        <v>612</v>
      </c>
      <c r="F4" s="31" t="s">
        <v>611</v>
      </c>
      <c r="G4" s="7" t="s">
        <v>612</v>
      </c>
      <c r="H4" s="7" t="s">
        <v>612</v>
      </c>
    </row>
    <row r="5" customFormat="false" ht="15" hidden="false" customHeight="false" outlineLevel="0" collapsed="false">
      <c r="A5" s="22" t="s">
        <v>615</v>
      </c>
      <c r="B5" s="15" t="s">
        <v>610</v>
      </c>
      <c r="C5" s="15" t="s">
        <v>609</v>
      </c>
      <c r="D5" s="15" t="s">
        <v>609</v>
      </c>
      <c r="E5" s="15" t="s">
        <v>610</v>
      </c>
      <c r="F5" s="31" t="s">
        <v>611</v>
      </c>
      <c r="G5" s="7" t="s">
        <v>612</v>
      </c>
      <c r="H5" s="15" t="s">
        <v>610</v>
      </c>
    </row>
    <row r="6" customFormat="false" ht="15" hidden="false" customHeight="false" outlineLevel="0" collapsed="false">
      <c r="A6" s="22" t="s">
        <v>616</v>
      </c>
      <c r="B6" s="15" t="s">
        <v>610</v>
      </c>
      <c r="C6" s="15" t="s">
        <v>610</v>
      </c>
      <c r="D6" s="15" t="s">
        <v>610</v>
      </c>
      <c r="E6" s="15" t="s">
        <v>610</v>
      </c>
      <c r="F6" s="15" t="s">
        <v>609</v>
      </c>
      <c r="G6" s="15" t="s">
        <v>609</v>
      </c>
      <c r="H6" s="31" t="s">
        <v>611</v>
      </c>
    </row>
    <row r="7" customFormat="false" ht="15" hidden="false" customHeight="false" outlineLevel="0" collapsed="false">
      <c r="A7" s="22" t="s">
        <v>617</v>
      </c>
      <c r="B7" s="31" t="s">
        <v>618</v>
      </c>
      <c r="C7" s="7" t="s">
        <v>612</v>
      </c>
      <c r="D7" s="7" t="s">
        <v>612</v>
      </c>
      <c r="E7" s="7" t="s">
        <v>612</v>
      </c>
      <c r="F7" s="15" t="s">
        <v>609</v>
      </c>
      <c r="G7" s="15" t="s">
        <v>609</v>
      </c>
      <c r="H7" s="15" t="s">
        <v>610</v>
      </c>
    </row>
    <row r="8" customFormat="false" ht="15" hidden="false" customHeight="false" outlineLevel="0" collapsed="false">
      <c r="A8" s="22" t="s">
        <v>619</v>
      </c>
      <c r="B8" s="15" t="s">
        <v>609</v>
      </c>
      <c r="C8" s="15" t="s">
        <v>610</v>
      </c>
      <c r="D8" s="31" t="s">
        <v>611</v>
      </c>
      <c r="E8" s="15" t="s">
        <v>609</v>
      </c>
      <c r="F8" s="15" t="s">
        <v>609</v>
      </c>
      <c r="G8" s="7" t="s">
        <v>612</v>
      </c>
      <c r="H8" s="15" t="s">
        <v>610</v>
      </c>
    </row>
    <row r="9" customFormat="false" ht="15" hidden="false" customHeight="false" outlineLevel="0" collapsed="false">
      <c r="A9" s="22" t="s">
        <v>620</v>
      </c>
      <c r="B9" s="15" t="s">
        <v>609</v>
      </c>
      <c r="C9" s="15" t="s">
        <v>609</v>
      </c>
      <c r="D9" s="7" t="s">
        <v>612</v>
      </c>
      <c r="E9" s="31" t="s">
        <v>611</v>
      </c>
      <c r="F9" s="15" t="s">
        <v>610</v>
      </c>
      <c r="G9" s="7" t="s">
        <v>612</v>
      </c>
      <c r="H9" s="7" t="s">
        <v>612</v>
      </c>
    </row>
    <row r="10" customFormat="false" ht="15" hidden="false" customHeight="false" outlineLevel="0" collapsed="false">
      <c r="A10" s="22" t="s">
        <v>621</v>
      </c>
      <c r="B10" s="7" t="s">
        <v>612</v>
      </c>
      <c r="C10" s="7" t="s">
        <v>612</v>
      </c>
      <c r="D10" s="7" t="s">
        <v>612</v>
      </c>
      <c r="E10" s="7" t="s">
        <v>612</v>
      </c>
      <c r="F10" s="31" t="s">
        <v>611</v>
      </c>
      <c r="G10" s="7" t="s">
        <v>612</v>
      </c>
      <c r="H10" s="7" t="s">
        <v>612</v>
      </c>
    </row>
    <row r="11" customFormat="false" ht="15" hidden="false" customHeight="false" outlineLevel="0" collapsed="false">
      <c r="A11" s="22" t="s">
        <v>622</v>
      </c>
      <c r="B11" s="15" t="s">
        <v>609</v>
      </c>
      <c r="C11" s="7" t="s">
        <v>612</v>
      </c>
      <c r="D11" s="7" t="s">
        <v>612</v>
      </c>
      <c r="E11" s="7" t="s">
        <v>612</v>
      </c>
      <c r="F11" s="31" t="s">
        <v>611</v>
      </c>
      <c r="G11" s="7" t="s">
        <v>612</v>
      </c>
      <c r="H11" s="7" t="s">
        <v>612</v>
      </c>
    </row>
    <row r="12" customFormat="false" ht="15" hidden="false" customHeight="false" outlineLevel="0" collapsed="false">
      <c r="A12" s="22" t="s">
        <v>623</v>
      </c>
      <c r="B12" s="31" t="s">
        <v>611</v>
      </c>
      <c r="C12" s="15" t="s">
        <v>609</v>
      </c>
      <c r="D12" s="15" t="s">
        <v>609</v>
      </c>
      <c r="E12" s="7" t="s">
        <v>612</v>
      </c>
      <c r="F12" s="7" t="s">
        <v>612</v>
      </c>
      <c r="G12" s="7" t="s">
        <v>612</v>
      </c>
      <c r="H12" s="7" t="s">
        <v>612</v>
      </c>
    </row>
    <row r="13" customFormat="false" ht="23.85" hidden="false" customHeight="false" outlineLevel="0" collapsed="false">
      <c r="A13" s="22" t="s">
        <v>624</v>
      </c>
      <c r="B13" s="31" t="s">
        <v>611</v>
      </c>
      <c r="C13" s="7" t="s">
        <v>612</v>
      </c>
      <c r="D13" s="7" t="s">
        <v>612</v>
      </c>
      <c r="E13" s="7" t="s">
        <v>612</v>
      </c>
      <c r="F13" s="7" t="s">
        <v>612</v>
      </c>
      <c r="G13" s="7" t="s">
        <v>612</v>
      </c>
      <c r="H13" s="7" t="s">
        <v>612</v>
      </c>
    </row>
    <row r="14" customFormat="false" ht="15" hidden="false" customHeight="false" outlineLevel="0" collapsed="false">
      <c r="A14" s="22" t="s">
        <v>625</v>
      </c>
      <c r="B14" s="31" t="s">
        <v>611</v>
      </c>
      <c r="C14" s="7" t="s">
        <v>612</v>
      </c>
      <c r="D14" s="7" t="s">
        <v>612</v>
      </c>
      <c r="E14" s="7" t="s">
        <v>612</v>
      </c>
      <c r="F14" s="7" t="s">
        <v>612</v>
      </c>
      <c r="G14" s="7" t="s">
        <v>612</v>
      </c>
      <c r="H14" s="7" t="s">
        <v>612</v>
      </c>
    </row>
    <row r="16" customFormat="false" ht="15" hidden="false" customHeight="false" outlineLevel="0" collapsed="false">
      <c r="A16" s="25" t="s">
        <v>626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9"/>
    <col collapsed="false" customWidth="true" hidden="false" outlineLevel="0" max="4" min="4" style="0" width="24"/>
    <col collapsed="false" customWidth="true" hidden="false" outlineLevel="0" max="5" min="5" style="0" width="16"/>
    <col collapsed="false" customWidth="true" hidden="false" outlineLevel="0" max="6" min="6" style="0" width="24"/>
    <col collapsed="false" customWidth="true" hidden="false" outlineLevel="0" max="7" min="7" style="0" width="22"/>
    <col collapsed="false" customWidth="true" hidden="false" outlineLevel="0" max="8" min="8" style="0" width="11"/>
    <col collapsed="false" customWidth="true" hidden="false" outlineLevel="0" max="10" min="9" style="0" width="18"/>
    <col collapsed="false" customWidth="true" hidden="false" outlineLevel="0" max="11" min="11" style="0" width="9"/>
    <col collapsed="false" customWidth="true" hidden="false" outlineLevel="0" max="12" min="12" style="0" width="12"/>
  </cols>
  <sheetData>
    <row r="1" customFormat="false" ht="30" hidden="false" customHeight="true" outlineLevel="0" collapsed="false">
      <c r="A1" s="6" t="s">
        <v>55</v>
      </c>
      <c r="B1" s="6" t="s">
        <v>627</v>
      </c>
      <c r="C1" s="6" t="s">
        <v>628</v>
      </c>
      <c r="D1" s="6" t="s">
        <v>629</v>
      </c>
      <c r="E1" s="6" t="s">
        <v>630</v>
      </c>
      <c r="F1" s="6" t="s">
        <v>631</v>
      </c>
      <c r="G1" s="6" t="s">
        <v>632</v>
      </c>
      <c r="H1" s="6" t="s">
        <v>633</v>
      </c>
      <c r="I1" s="6" t="s">
        <v>634</v>
      </c>
      <c r="J1" s="6" t="s">
        <v>635</v>
      </c>
      <c r="K1" s="6" t="s">
        <v>636</v>
      </c>
      <c r="L1" s="6" t="s">
        <v>637</v>
      </c>
    </row>
    <row r="2" customFormat="false" ht="23.85" hidden="false" customHeight="false" outlineLevel="0" collapsed="false">
      <c r="A2" s="19" t="s">
        <v>638</v>
      </c>
      <c r="B2" s="16" t="s">
        <v>639</v>
      </c>
      <c r="C2" s="15" t="s">
        <v>640</v>
      </c>
      <c r="D2" s="16" t="s">
        <v>409</v>
      </c>
      <c r="E2" s="16" t="s">
        <v>220</v>
      </c>
      <c r="F2" s="16" t="s">
        <v>641</v>
      </c>
      <c r="G2" s="16" t="s">
        <v>642</v>
      </c>
      <c r="H2" s="15" t="s">
        <v>65</v>
      </c>
      <c r="I2" s="16" t="s">
        <v>643</v>
      </c>
      <c r="J2" s="15" t="s">
        <v>71</v>
      </c>
      <c r="K2" s="15" t="n">
        <v>3</v>
      </c>
      <c r="L2" s="23" t="s">
        <v>11</v>
      </c>
    </row>
    <row r="3" customFormat="false" ht="15" hidden="false" customHeight="false" outlineLevel="0" collapsed="false">
      <c r="A3" s="19" t="s">
        <v>644</v>
      </c>
      <c r="B3" s="16" t="s">
        <v>645</v>
      </c>
      <c r="C3" s="15" t="s">
        <v>640</v>
      </c>
      <c r="D3" s="16" t="s">
        <v>402</v>
      </c>
      <c r="E3" s="16" t="s">
        <v>220</v>
      </c>
      <c r="F3" s="16" t="s">
        <v>646</v>
      </c>
      <c r="G3" s="16" t="s">
        <v>404</v>
      </c>
      <c r="H3" s="15" t="s">
        <v>647</v>
      </c>
      <c r="I3" s="16" t="s">
        <v>220</v>
      </c>
      <c r="J3" s="15" t="s">
        <v>648</v>
      </c>
      <c r="K3" s="15" t="n">
        <v>3</v>
      </c>
      <c r="L3" s="23" t="s">
        <v>11</v>
      </c>
    </row>
    <row r="4" customFormat="false" ht="15" hidden="false" customHeight="false" outlineLevel="0" collapsed="false">
      <c r="A4" s="19" t="s">
        <v>649</v>
      </c>
      <c r="B4" s="16" t="s">
        <v>650</v>
      </c>
      <c r="C4" s="15" t="s">
        <v>640</v>
      </c>
      <c r="D4" s="16" t="s">
        <v>409</v>
      </c>
      <c r="E4" s="16" t="s">
        <v>220</v>
      </c>
      <c r="F4" s="16" t="s">
        <v>187</v>
      </c>
      <c r="G4" s="16" t="s">
        <v>396</v>
      </c>
      <c r="H4" s="15" t="s">
        <v>651</v>
      </c>
      <c r="I4" s="16" t="s">
        <v>652</v>
      </c>
      <c r="J4" s="15" t="s">
        <v>653</v>
      </c>
      <c r="K4" s="15" t="n">
        <v>3</v>
      </c>
      <c r="L4" s="23" t="s">
        <v>11</v>
      </c>
    </row>
    <row r="5" customFormat="false" ht="15" hidden="false" customHeight="false" outlineLevel="0" collapsed="false">
      <c r="A5" s="19" t="s">
        <v>654</v>
      </c>
      <c r="B5" s="16" t="s">
        <v>655</v>
      </c>
      <c r="C5" s="15" t="s">
        <v>640</v>
      </c>
      <c r="D5" s="16" t="s">
        <v>409</v>
      </c>
      <c r="E5" s="16" t="s">
        <v>220</v>
      </c>
      <c r="F5" s="16" t="s">
        <v>656</v>
      </c>
      <c r="G5" s="16" t="s">
        <v>415</v>
      </c>
      <c r="H5" s="15" t="s">
        <v>657</v>
      </c>
      <c r="I5" s="16" t="s">
        <v>658</v>
      </c>
      <c r="J5" s="15" t="s">
        <v>659</v>
      </c>
      <c r="K5" s="15" t="n">
        <v>4</v>
      </c>
      <c r="L5" s="23" t="s">
        <v>11</v>
      </c>
    </row>
    <row r="6" customFormat="false" ht="15" hidden="false" customHeight="false" outlineLevel="0" collapsed="false">
      <c r="A6" s="19" t="s">
        <v>56</v>
      </c>
      <c r="B6" s="16" t="s">
        <v>660</v>
      </c>
      <c r="C6" s="15" t="s">
        <v>640</v>
      </c>
      <c r="D6" s="16" t="s">
        <v>409</v>
      </c>
      <c r="E6" s="16" t="s">
        <v>220</v>
      </c>
      <c r="F6" s="16" t="s">
        <v>59</v>
      </c>
      <c r="G6" s="16" t="s">
        <v>404</v>
      </c>
      <c r="H6" s="15" t="s">
        <v>661</v>
      </c>
      <c r="I6" s="16" t="s">
        <v>68</v>
      </c>
      <c r="J6" s="15" t="s">
        <v>662</v>
      </c>
      <c r="K6" s="15" t="n">
        <v>3</v>
      </c>
      <c r="L6" s="23" t="s">
        <v>11</v>
      </c>
    </row>
    <row r="7" customFormat="false" ht="15" hidden="false" customHeight="false" outlineLevel="0" collapsed="false">
      <c r="A7" s="19" t="s">
        <v>663</v>
      </c>
      <c r="B7" s="16" t="s">
        <v>664</v>
      </c>
      <c r="C7" s="15" t="s">
        <v>640</v>
      </c>
      <c r="D7" s="16" t="s">
        <v>402</v>
      </c>
      <c r="E7" s="16" t="s">
        <v>665</v>
      </c>
      <c r="F7" s="16" t="s">
        <v>666</v>
      </c>
      <c r="G7" s="16" t="s">
        <v>642</v>
      </c>
      <c r="H7" s="15" t="s">
        <v>667</v>
      </c>
      <c r="I7" s="16" t="s">
        <v>668</v>
      </c>
      <c r="J7" s="15" t="s">
        <v>669</v>
      </c>
      <c r="K7" s="15" t="n">
        <v>4</v>
      </c>
      <c r="L7" s="23" t="s">
        <v>11</v>
      </c>
    </row>
    <row r="8" customFormat="false" ht="15" hidden="false" customHeight="false" outlineLevel="0" collapsed="false">
      <c r="A8" s="19" t="s">
        <v>670</v>
      </c>
      <c r="B8" s="16" t="s">
        <v>671</v>
      </c>
      <c r="C8" s="15" t="s">
        <v>640</v>
      </c>
      <c r="D8" s="16" t="s">
        <v>402</v>
      </c>
      <c r="E8" s="16" t="s">
        <v>62</v>
      </c>
      <c r="F8" s="16" t="s">
        <v>59</v>
      </c>
      <c r="G8" s="16" t="s">
        <v>404</v>
      </c>
      <c r="H8" s="15" t="s">
        <v>672</v>
      </c>
      <c r="I8" s="16" t="s">
        <v>668</v>
      </c>
      <c r="J8" s="15" t="s">
        <v>673</v>
      </c>
      <c r="K8" s="15" t="n">
        <v>4</v>
      </c>
      <c r="L8" s="23" t="s">
        <v>11</v>
      </c>
    </row>
    <row r="9" customFormat="false" ht="15" hidden="false" customHeight="false" outlineLevel="0" collapsed="false">
      <c r="A9" s="19" t="s">
        <v>674</v>
      </c>
      <c r="B9" s="16" t="s">
        <v>675</v>
      </c>
      <c r="C9" s="15" t="s">
        <v>640</v>
      </c>
      <c r="D9" s="16" t="s">
        <v>409</v>
      </c>
      <c r="E9" s="16" t="s">
        <v>220</v>
      </c>
      <c r="F9" s="16" t="s">
        <v>676</v>
      </c>
      <c r="G9" s="16" t="s">
        <v>404</v>
      </c>
      <c r="H9" s="15" t="s">
        <v>677</v>
      </c>
      <c r="I9" s="16" t="s">
        <v>652</v>
      </c>
      <c r="J9" s="15" t="s">
        <v>678</v>
      </c>
      <c r="K9" s="15" t="n">
        <v>4</v>
      </c>
      <c r="L9" s="23" t="s">
        <v>11</v>
      </c>
    </row>
    <row r="10" customFormat="false" ht="15" hidden="false" customHeight="false" outlineLevel="0" collapsed="false">
      <c r="A10" s="19" t="s">
        <v>679</v>
      </c>
      <c r="B10" s="16" t="s">
        <v>680</v>
      </c>
      <c r="C10" s="15" t="s">
        <v>640</v>
      </c>
      <c r="D10" s="16" t="s">
        <v>402</v>
      </c>
      <c r="E10" s="16" t="s">
        <v>681</v>
      </c>
      <c r="F10" s="16" t="s">
        <v>682</v>
      </c>
      <c r="G10" s="16" t="s">
        <v>422</v>
      </c>
      <c r="H10" s="15" t="s">
        <v>683</v>
      </c>
      <c r="I10" s="16" t="s">
        <v>684</v>
      </c>
      <c r="J10" s="15" t="s">
        <v>685</v>
      </c>
      <c r="K10" s="15" t="n">
        <v>4</v>
      </c>
      <c r="L10" s="23" t="s">
        <v>11</v>
      </c>
    </row>
    <row r="11" customFormat="false" ht="23.85" hidden="false" customHeight="false" outlineLevel="0" collapsed="false">
      <c r="A11" s="19" t="s">
        <v>686</v>
      </c>
      <c r="B11" s="16" t="s">
        <v>687</v>
      </c>
      <c r="C11" s="15" t="s">
        <v>640</v>
      </c>
      <c r="D11" s="16" t="s">
        <v>402</v>
      </c>
      <c r="E11" s="16" t="s">
        <v>688</v>
      </c>
      <c r="F11" s="16" t="s">
        <v>353</v>
      </c>
      <c r="G11" s="16" t="s">
        <v>404</v>
      </c>
      <c r="H11" s="15" t="s">
        <v>689</v>
      </c>
      <c r="I11" s="16" t="s">
        <v>668</v>
      </c>
      <c r="J11" s="15" t="s">
        <v>690</v>
      </c>
      <c r="K11" s="15" t="n">
        <v>4</v>
      </c>
      <c r="L11" s="23" t="s">
        <v>11</v>
      </c>
    </row>
    <row r="12" customFormat="false" ht="15" hidden="false" customHeight="false" outlineLevel="0" collapsed="false">
      <c r="A12" s="19" t="s">
        <v>691</v>
      </c>
      <c r="B12" s="16" t="s">
        <v>692</v>
      </c>
      <c r="C12" s="15" t="s">
        <v>640</v>
      </c>
      <c r="D12" s="16" t="s">
        <v>402</v>
      </c>
      <c r="E12" s="16" t="s">
        <v>693</v>
      </c>
      <c r="F12" s="16" t="s">
        <v>220</v>
      </c>
      <c r="G12" s="16" t="s">
        <v>220</v>
      </c>
      <c r="H12" s="15" t="s">
        <v>694</v>
      </c>
      <c r="I12" s="16" t="s">
        <v>220</v>
      </c>
      <c r="J12" s="15" t="s">
        <v>695</v>
      </c>
      <c r="K12" s="15" t="n">
        <v>5</v>
      </c>
      <c r="L12" s="23" t="s">
        <v>11</v>
      </c>
    </row>
    <row r="13" customFormat="false" ht="15" hidden="false" customHeight="false" outlineLevel="0" collapsed="false">
      <c r="A13" s="19" t="s">
        <v>696</v>
      </c>
      <c r="B13" s="16" t="s">
        <v>697</v>
      </c>
      <c r="C13" s="15" t="s">
        <v>640</v>
      </c>
      <c r="D13" s="16" t="s">
        <v>698</v>
      </c>
      <c r="E13" s="16" t="s">
        <v>693</v>
      </c>
      <c r="F13" s="16" t="s">
        <v>220</v>
      </c>
      <c r="G13" s="16" t="s">
        <v>220</v>
      </c>
      <c r="H13" s="15" t="s">
        <v>699</v>
      </c>
      <c r="I13" s="16" t="s">
        <v>220</v>
      </c>
      <c r="J13" s="15" t="s">
        <v>700</v>
      </c>
      <c r="K13" s="15" t="n">
        <v>5</v>
      </c>
      <c r="L13" s="23" t="s">
        <v>11</v>
      </c>
    </row>
    <row r="14" customFormat="false" ht="15" hidden="false" customHeight="false" outlineLevel="0" collapsed="false">
      <c r="A14" s="19" t="s">
        <v>701</v>
      </c>
      <c r="B14" s="16" t="s">
        <v>702</v>
      </c>
      <c r="C14" s="15" t="s">
        <v>640</v>
      </c>
      <c r="D14" s="16" t="s">
        <v>409</v>
      </c>
      <c r="E14" s="16" t="s">
        <v>220</v>
      </c>
      <c r="F14" s="16" t="s">
        <v>676</v>
      </c>
      <c r="G14" s="16" t="s">
        <v>404</v>
      </c>
      <c r="H14" s="15" t="s">
        <v>703</v>
      </c>
      <c r="I14" s="16" t="s">
        <v>652</v>
      </c>
      <c r="J14" s="15" t="s">
        <v>704</v>
      </c>
      <c r="K14" s="15" t="n">
        <v>5</v>
      </c>
      <c r="L14" s="23" t="s">
        <v>11</v>
      </c>
    </row>
    <row r="15" customFormat="false" ht="15" hidden="false" customHeight="false" outlineLevel="0" collapsed="false">
      <c r="A15" s="19" t="s">
        <v>705</v>
      </c>
      <c r="B15" s="16" t="s">
        <v>706</v>
      </c>
      <c r="C15" s="15" t="s">
        <v>640</v>
      </c>
      <c r="D15" s="16" t="s">
        <v>707</v>
      </c>
      <c r="E15" s="16" t="s">
        <v>220</v>
      </c>
      <c r="F15" s="16" t="s">
        <v>646</v>
      </c>
      <c r="G15" s="16" t="s">
        <v>404</v>
      </c>
      <c r="H15" s="15" t="s">
        <v>708</v>
      </c>
      <c r="I15" s="16" t="s">
        <v>709</v>
      </c>
      <c r="J15" s="15" t="s">
        <v>710</v>
      </c>
      <c r="K15" s="15" t="n">
        <v>5</v>
      </c>
      <c r="L15" s="23" t="s">
        <v>11</v>
      </c>
    </row>
    <row r="16" customFormat="false" ht="15" hidden="false" customHeight="false" outlineLevel="0" collapsed="false">
      <c r="A16" s="19" t="s">
        <v>711</v>
      </c>
      <c r="B16" s="16" t="s">
        <v>712</v>
      </c>
      <c r="C16" s="15" t="s">
        <v>713</v>
      </c>
      <c r="D16" s="16" t="s">
        <v>409</v>
      </c>
      <c r="E16" s="16" t="s">
        <v>220</v>
      </c>
      <c r="F16" s="16" t="s">
        <v>220</v>
      </c>
      <c r="G16" s="16" t="s">
        <v>220</v>
      </c>
      <c r="H16" s="15" t="s">
        <v>714</v>
      </c>
      <c r="I16" s="16" t="s">
        <v>220</v>
      </c>
      <c r="J16" s="15" t="s">
        <v>715</v>
      </c>
      <c r="K16" s="15" t="n">
        <v>5</v>
      </c>
      <c r="L16" s="23" t="s">
        <v>11</v>
      </c>
    </row>
    <row r="17" customFormat="false" ht="23.85" hidden="false" customHeight="false" outlineLevel="0" collapsed="false">
      <c r="A17" s="19" t="s">
        <v>716</v>
      </c>
      <c r="B17" s="16" t="s">
        <v>717</v>
      </c>
      <c r="C17" s="15" t="s">
        <v>220</v>
      </c>
      <c r="D17" s="16" t="s">
        <v>414</v>
      </c>
      <c r="E17" s="16" t="s">
        <v>220</v>
      </c>
      <c r="F17" s="16" t="s">
        <v>162</v>
      </c>
      <c r="G17" s="16" t="s">
        <v>415</v>
      </c>
      <c r="H17" s="15" t="s">
        <v>220</v>
      </c>
      <c r="I17" s="16" t="s">
        <v>718</v>
      </c>
      <c r="J17" s="15" t="s">
        <v>719</v>
      </c>
      <c r="K17" s="15" t="n">
        <v>5</v>
      </c>
      <c r="L17" s="23" t="s">
        <v>11</v>
      </c>
    </row>
    <row r="20" customFormat="false" ht="15" hidden="false" customHeight="false" outlineLevel="0" collapsed="false">
      <c r="A20" s="13" t="s">
        <v>720</v>
      </c>
    </row>
    <row r="21" customFormat="false" ht="30" hidden="false" customHeight="true" outlineLevel="0" collapsed="false">
      <c r="A21" s="6" t="s">
        <v>721</v>
      </c>
      <c r="B21" s="6" t="s">
        <v>722</v>
      </c>
      <c r="C21" s="6"/>
      <c r="D21" s="6"/>
      <c r="E21" s="6" t="s">
        <v>723</v>
      </c>
      <c r="F21" s="6" t="s">
        <v>724</v>
      </c>
    </row>
    <row r="22" customFormat="false" ht="23.85" hidden="false" customHeight="true" outlineLevel="0" collapsed="false">
      <c r="A22" s="19" t="s">
        <v>62</v>
      </c>
      <c r="B22" s="16" t="s">
        <v>725</v>
      </c>
      <c r="C22" s="16"/>
      <c r="D22" s="16"/>
      <c r="E22" s="15" t="s">
        <v>670</v>
      </c>
      <c r="F22" s="16" t="s">
        <v>402</v>
      </c>
    </row>
    <row r="23" customFormat="false" ht="23.85" hidden="false" customHeight="true" outlineLevel="0" collapsed="false">
      <c r="A23" s="19" t="s">
        <v>726</v>
      </c>
      <c r="B23" s="16" t="s">
        <v>727</v>
      </c>
      <c r="C23" s="16"/>
      <c r="D23" s="16"/>
      <c r="E23" s="15" t="s">
        <v>686</v>
      </c>
      <c r="F23" s="16" t="s">
        <v>402</v>
      </c>
    </row>
    <row r="24" customFormat="false" ht="23.85" hidden="false" customHeight="true" outlineLevel="0" collapsed="false">
      <c r="A24" s="19" t="s">
        <v>693</v>
      </c>
      <c r="B24" s="16" t="s">
        <v>728</v>
      </c>
      <c r="C24" s="16"/>
      <c r="D24" s="16"/>
      <c r="E24" s="15" t="s">
        <v>729</v>
      </c>
      <c r="F24" s="16" t="s">
        <v>402</v>
      </c>
    </row>
    <row r="25" customFormat="false" ht="23.85" hidden="false" customHeight="true" outlineLevel="0" collapsed="false">
      <c r="A25" s="19" t="s">
        <v>681</v>
      </c>
      <c r="B25" s="16" t="s">
        <v>730</v>
      </c>
      <c r="C25" s="16"/>
      <c r="D25" s="16"/>
      <c r="E25" s="15" t="s">
        <v>731</v>
      </c>
      <c r="F25" s="16" t="s">
        <v>402</v>
      </c>
    </row>
    <row r="26" customFormat="false" ht="23.85" hidden="false" customHeight="true" outlineLevel="0" collapsed="false">
      <c r="A26" s="19" t="s">
        <v>665</v>
      </c>
      <c r="B26" s="16" t="s">
        <v>732</v>
      </c>
      <c r="C26" s="16"/>
      <c r="D26" s="16"/>
      <c r="E26" s="15" t="s">
        <v>663</v>
      </c>
      <c r="F26" s="16" t="s">
        <v>402</v>
      </c>
    </row>
    <row r="29" customFormat="false" ht="15" hidden="false" customHeight="false" outlineLevel="0" collapsed="false">
      <c r="A29" s="13" t="s">
        <v>733</v>
      </c>
    </row>
    <row r="30" customFormat="false" ht="30" hidden="false" customHeight="true" outlineLevel="0" collapsed="false">
      <c r="A30" s="6" t="s">
        <v>734</v>
      </c>
      <c r="B30" s="6" t="s">
        <v>735</v>
      </c>
      <c r="C30" s="6"/>
      <c r="D30" s="6"/>
      <c r="E30" s="6" t="s">
        <v>58</v>
      </c>
      <c r="F30" s="6" t="s">
        <v>724</v>
      </c>
      <c r="G30" s="6" t="s">
        <v>736</v>
      </c>
      <c r="H30" s="6" t="s">
        <v>737</v>
      </c>
      <c r="I30" s="6" t="s">
        <v>635</v>
      </c>
      <c r="J30" s="6" t="s">
        <v>738</v>
      </c>
      <c r="K30" s="6"/>
      <c r="L30" s="6"/>
    </row>
    <row r="31" customFormat="false" ht="23.85" hidden="false" customHeight="true" outlineLevel="0" collapsed="false">
      <c r="A31" s="32" t="s">
        <v>68</v>
      </c>
      <c r="B31" s="9" t="s">
        <v>739</v>
      </c>
      <c r="C31" s="9"/>
      <c r="D31" s="9"/>
      <c r="E31" s="9" t="s">
        <v>59</v>
      </c>
      <c r="F31" s="9" t="s">
        <v>404</v>
      </c>
      <c r="G31" s="7" t="s">
        <v>740</v>
      </c>
      <c r="H31" s="7" t="s">
        <v>741</v>
      </c>
      <c r="I31" s="7" t="s">
        <v>742</v>
      </c>
      <c r="J31" s="9" t="s">
        <v>743</v>
      </c>
      <c r="K31" s="9"/>
      <c r="L31" s="9"/>
    </row>
    <row r="32" customFormat="false" ht="23.85" hidden="false" customHeight="true" outlineLevel="0" collapsed="false">
      <c r="A32" s="32" t="s">
        <v>744</v>
      </c>
      <c r="B32" s="9" t="s">
        <v>745</v>
      </c>
      <c r="C32" s="9"/>
      <c r="D32" s="9"/>
      <c r="E32" s="9" t="s">
        <v>746</v>
      </c>
      <c r="F32" s="9" t="s">
        <v>422</v>
      </c>
      <c r="G32" s="7" t="s">
        <v>747</v>
      </c>
      <c r="H32" s="7" t="s">
        <v>748</v>
      </c>
      <c r="I32" s="7" t="s">
        <v>749</v>
      </c>
      <c r="J32" s="9" t="s">
        <v>750</v>
      </c>
      <c r="K32" s="9"/>
      <c r="L32" s="9"/>
    </row>
    <row r="33" customFormat="false" ht="23.85" hidden="false" customHeight="true" outlineLevel="0" collapsed="false">
      <c r="A33" s="32" t="s">
        <v>658</v>
      </c>
      <c r="B33" s="9" t="s">
        <v>751</v>
      </c>
      <c r="C33" s="9"/>
      <c r="D33" s="9"/>
      <c r="E33" s="9" t="s">
        <v>656</v>
      </c>
      <c r="F33" s="9" t="s">
        <v>415</v>
      </c>
      <c r="G33" s="7" t="s">
        <v>752</v>
      </c>
      <c r="H33" s="7" t="s">
        <v>220</v>
      </c>
      <c r="I33" s="7" t="s">
        <v>753</v>
      </c>
      <c r="J33" s="9" t="s">
        <v>754</v>
      </c>
      <c r="K33" s="9"/>
      <c r="L33" s="9"/>
    </row>
    <row r="34" customFormat="false" ht="23.85" hidden="false" customHeight="true" outlineLevel="0" collapsed="false">
      <c r="A34" s="32" t="s">
        <v>684</v>
      </c>
      <c r="B34" s="9" t="s">
        <v>755</v>
      </c>
      <c r="C34" s="9"/>
      <c r="D34" s="9"/>
      <c r="E34" s="9" t="s">
        <v>682</v>
      </c>
      <c r="F34" s="9" t="s">
        <v>422</v>
      </c>
      <c r="G34" s="7" t="s">
        <v>752</v>
      </c>
      <c r="H34" s="7" t="s">
        <v>220</v>
      </c>
      <c r="I34" s="7" t="s">
        <v>756</v>
      </c>
      <c r="J34" s="9" t="s">
        <v>757</v>
      </c>
      <c r="K34" s="9"/>
      <c r="L34" s="9"/>
    </row>
    <row r="35" customFormat="false" ht="23.85" hidden="false" customHeight="true" outlineLevel="0" collapsed="false">
      <c r="A35" s="32" t="s">
        <v>709</v>
      </c>
      <c r="B35" s="9" t="s">
        <v>758</v>
      </c>
      <c r="C35" s="9"/>
      <c r="D35" s="9"/>
      <c r="E35" s="9" t="s">
        <v>646</v>
      </c>
      <c r="F35" s="9" t="s">
        <v>404</v>
      </c>
      <c r="G35" s="7" t="s">
        <v>759</v>
      </c>
      <c r="H35" s="7" t="s">
        <v>220</v>
      </c>
      <c r="I35" s="7" t="s">
        <v>760</v>
      </c>
      <c r="J35" s="9" t="s">
        <v>761</v>
      </c>
      <c r="K35" s="9"/>
      <c r="L35" s="9"/>
    </row>
    <row r="36" customFormat="false" ht="23.85" hidden="false" customHeight="true" outlineLevel="0" collapsed="false">
      <c r="A36" s="32" t="s">
        <v>668</v>
      </c>
      <c r="B36" s="9" t="s">
        <v>762</v>
      </c>
      <c r="C36" s="9"/>
      <c r="D36" s="9"/>
      <c r="E36" s="9" t="s">
        <v>353</v>
      </c>
      <c r="F36" s="9" t="s">
        <v>404</v>
      </c>
      <c r="G36" s="7" t="s">
        <v>752</v>
      </c>
      <c r="H36" s="7" t="s">
        <v>220</v>
      </c>
      <c r="I36" s="7" t="s">
        <v>763</v>
      </c>
      <c r="J36" s="9" t="s">
        <v>764</v>
      </c>
      <c r="K36" s="9"/>
      <c r="L36" s="9"/>
    </row>
    <row r="37" customFormat="false" ht="23.85" hidden="false" customHeight="true" outlineLevel="0" collapsed="false">
      <c r="A37" s="32" t="s">
        <v>652</v>
      </c>
      <c r="B37" s="9" t="s">
        <v>765</v>
      </c>
      <c r="C37" s="9"/>
      <c r="D37" s="9"/>
      <c r="E37" s="9" t="s">
        <v>187</v>
      </c>
      <c r="F37" s="9" t="s">
        <v>404</v>
      </c>
      <c r="G37" s="7" t="s">
        <v>766</v>
      </c>
      <c r="H37" s="7" t="s">
        <v>220</v>
      </c>
      <c r="I37" s="7" t="s">
        <v>767</v>
      </c>
      <c r="J37" s="9" t="s">
        <v>768</v>
      </c>
      <c r="K37" s="9"/>
      <c r="L37" s="9"/>
    </row>
    <row r="38" customFormat="false" ht="23.85" hidden="false" customHeight="true" outlineLevel="0" collapsed="false">
      <c r="A38" s="32" t="s">
        <v>718</v>
      </c>
      <c r="B38" s="9" t="s">
        <v>769</v>
      </c>
      <c r="C38" s="9"/>
      <c r="D38" s="9"/>
      <c r="E38" s="9" t="s">
        <v>162</v>
      </c>
      <c r="F38" s="9" t="s">
        <v>415</v>
      </c>
      <c r="G38" s="7" t="s">
        <v>770</v>
      </c>
      <c r="H38" s="7" t="s">
        <v>220</v>
      </c>
      <c r="I38" s="7" t="s">
        <v>719</v>
      </c>
      <c r="J38" s="9" t="s">
        <v>771</v>
      </c>
      <c r="K38" s="9"/>
      <c r="L38" s="9"/>
    </row>
  </sheetData>
  <mergeCells count="21">
    <mergeCell ref="B22:D22"/>
    <mergeCell ref="B23:D23"/>
    <mergeCell ref="B24:D24"/>
    <mergeCell ref="B25:D25"/>
    <mergeCell ref="B26:D26"/>
    <mergeCell ref="B31:D31"/>
    <mergeCell ref="J31:L31"/>
    <mergeCell ref="B32:D32"/>
    <mergeCell ref="J32:L32"/>
    <mergeCell ref="B33:D33"/>
    <mergeCell ref="J33:L33"/>
    <mergeCell ref="B34:D34"/>
    <mergeCell ref="J34:L34"/>
    <mergeCell ref="B35:D35"/>
    <mergeCell ref="J35:L35"/>
    <mergeCell ref="B36:D36"/>
    <mergeCell ref="J36:L36"/>
    <mergeCell ref="B37:D37"/>
    <mergeCell ref="J37:L37"/>
    <mergeCell ref="B38:D38"/>
    <mergeCell ref="J38:L38"/>
  </mergeCells>
  <dataValidations count="1">
    <dataValidation allowBlank="true" errorStyle="stop" operator="between" showDropDown="false" showErrorMessage="false" showInputMessage="false" sqref="L2:L17" type="list">
      <formula1>"Draft,Implemented,Tested,Accepted"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34"/>
    <col collapsed="false" customWidth="true" hidden="false" outlineLevel="0" max="6" min="4" style="0" width="40"/>
  </cols>
  <sheetData>
    <row r="1" customFormat="false" ht="30" hidden="false" customHeight="true" outlineLevel="0" collapsed="false">
      <c r="A1" s="6" t="s">
        <v>772</v>
      </c>
      <c r="B1" s="6" t="s">
        <v>13</v>
      </c>
      <c r="C1" s="6" t="s">
        <v>773</v>
      </c>
      <c r="D1" s="6" t="s">
        <v>774</v>
      </c>
      <c r="E1" s="6" t="s">
        <v>775</v>
      </c>
      <c r="F1" s="6" t="s">
        <v>776</v>
      </c>
    </row>
    <row r="2" customFormat="false" ht="15" hidden="false" customHeight="false" outlineLevel="0" collapsed="false">
      <c r="A2" s="22" t="s">
        <v>20</v>
      </c>
      <c r="B2" s="15" t="s">
        <v>19</v>
      </c>
      <c r="C2" s="9" t="s">
        <v>777</v>
      </c>
      <c r="D2" s="16" t="s">
        <v>778</v>
      </c>
      <c r="E2" s="24"/>
      <c r="F2" s="24"/>
    </row>
    <row r="3" customFormat="false" ht="15" hidden="false" customHeight="false" outlineLevel="0" collapsed="false">
      <c r="A3" s="22" t="s">
        <v>25</v>
      </c>
      <c r="B3" s="15" t="s">
        <v>24</v>
      </c>
      <c r="C3" s="9" t="s">
        <v>779</v>
      </c>
      <c r="D3" s="16" t="s">
        <v>780</v>
      </c>
      <c r="E3" s="24"/>
      <c r="F3" s="24"/>
    </row>
    <row r="4" customFormat="false" ht="15" hidden="false" customHeight="false" outlineLevel="0" collapsed="false">
      <c r="A4" s="22" t="s">
        <v>29</v>
      </c>
      <c r="B4" s="15" t="s">
        <v>28</v>
      </c>
      <c r="C4" s="9" t="s">
        <v>781</v>
      </c>
      <c r="D4" s="16" t="s">
        <v>782</v>
      </c>
      <c r="E4" s="24"/>
      <c r="F4" s="24"/>
    </row>
    <row r="5" customFormat="false" ht="23.85" hidden="false" customHeight="false" outlineLevel="0" collapsed="false">
      <c r="A5" s="22" t="s">
        <v>33</v>
      </c>
      <c r="B5" s="15" t="s">
        <v>32</v>
      </c>
      <c r="C5" s="9" t="s">
        <v>783</v>
      </c>
      <c r="D5" s="16" t="s">
        <v>784</v>
      </c>
      <c r="E5" s="24"/>
      <c r="F5" s="24"/>
    </row>
    <row r="6" customFormat="false" ht="23.85" hidden="false" customHeight="false" outlineLevel="0" collapsed="false">
      <c r="A6" s="22" t="s">
        <v>37</v>
      </c>
      <c r="B6" s="15" t="s">
        <v>36</v>
      </c>
      <c r="C6" s="12" t="s">
        <v>785</v>
      </c>
      <c r="D6" s="16" t="s">
        <v>786</v>
      </c>
      <c r="E6" s="24"/>
      <c r="F6" s="24"/>
    </row>
    <row r="7" customFormat="false" ht="15" hidden="false" customHeight="false" outlineLevel="0" collapsed="false">
      <c r="A7" s="22" t="s">
        <v>42</v>
      </c>
      <c r="B7" s="15" t="s">
        <v>41</v>
      </c>
      <c r="C7" s="12" t="s">
        <v>787</v>
      </c>
      <c r="D7" s="16" t="s">
        <v>788</v>
      </c>
      <c r="E7" s="24"/>
      <c r="F7" s="24"/>
    </row>
    <row r="8" customFormat="false" ht="15" hidden="false" customHeight="false" outlineLevel="0" collapsed="false">
      <c r="A8" s="22" t="s">
        <v>47</v>
      </c>
      <c r="B8" s="15" t="s">
        <v>46</v>
      </c>
      <c r="C8" s="12" t="s">
        <v>789</v>
      </c>
      <c r="D8" s="16" t="s">
        <v>790</v>
      </c>
      <c r="E8" s="24"/>
      <c r="F8" s="24"/>
    </row>
    <row r="10" customFormat="false" ht="15" hidden="false" customHeight="false" outlineLevel="0" collapsed="false">
      <c r="A10" s="25" t="s">
        <v>791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4"/>
    <col collapsed="false" customWidth="true" hidden="false" outlineLevel="0" max="3" min="3" style="0" width="14"/>
    <col collapsed="false" customWidth="true" hidden="false" outlineLevel="0" max="4" min="4" style="0" width="52"/>
    <col collapsed="false" customWidth="true" hidden="false" outlineLevel="0" max="5" min="5" style="0" width="10"/>
    <col collapsed="false" customWidth="true" hidden="false" outlineLevel="0" max="6" min="6" style="0" width="13"/>
  </cols>
  <sheetData>
    <row r="1" customFormat="false" ht="30" hidden="false" customHeight="true" outlineLevel="0" collapsed="false">
      <c r="A1" s="6" t="s">
        <v>792</v>
      </c>
      <c r="B1" s="6" t="s">
        <v>793</v>
      </c>
      <c r="C1" s="6" t="s">
        <v>724</v>
      </c>
      <c r="D1" s="6" t="s">
        <v>794</v>
      </c>
      <c r="E1" s="6" t="s">
        <v>795</v>
      </c>
      <c r="F1" s="6" t="s">
        <v>637</v>
      </c>
    </row>
    <row r="2" customFormat="false" ht="15" hidden="false" customHeight="false" outlineLevel="0" collapsed="false">
      <c r="A2" s="19" t="s">
        <v>796</v>
      </c>
      <c r="B2" s="16" t="s">
        <v>797</v>
      </c>
      <c r="C2" s="16" t="s">
        <v>422</v>
      </c>
      <c r="D2" s="16" t="s">
        <v>798</v>
      </c>
      <c r="E2" s="15" t="n">
        <v>3</v>
      </c>
      <c r="F2" s="23" t="s">
        <v>799</v>
      </c>
    </row>
    <row r="3" customFormat="false" ht="23.85" hidden="false" customHeight="false" outlineLevel="0" collapsed="false">
      <c r="A3" s="19" t="s">
        <v>800</v>
      </c>
      <c r="B3" s="16" t="s">
        <v>801</v>
      </c>
      <c r="C3" s="16" t="s">
        <v>402</v>
      </c>
      <c r="D3" s="16" t="s">
        <v>802</v>
      </c>
      <c r="E3" s="15" t="n">
        <v>1</v>
      </c>
      <c r="F3" s="23" t="s">
        <v>799</v>
      </c>
    </row>
    <row r="4" customFormat="false" ht="23.85" hidden="false" customHeight="false" outlineLevel="0" collapsed="false">
      <c r="A4" s="19" t="s">
        <v>803</v>
      </c>
      <c r="B4" s="16" t="s">
        <v>804</v>
      </c>
      <c r="C4" s="16" t="s">
        <v>402</v>
      </c>
      <c r="D4" s="16" t="s">
        <v>805</v>
      </c>
      <c r="E4" s="15" t="n">
        <v>3</v>
      </c>
      <c r="F4" s="23" t="s">
        <v>799</v>
      </c>
    </row>
    <row r="5" customFormat="false" ht="23.85" hidden="false" customHeight="false" outlineLevel="0" collapsed="false">
      <c r="A5" s="19" t="s">
        <v>806</v>
      </c>
      <c r="B5" s="16" t="s">
        <v>807</v>
      </c>
      <c r="C5" s="16" t="s">
        <v>396</v>
      </c>
      <c r="D5" s="16" t="s">
        <v>808</v>
      </c>
      <c r="E5" s="15" t="n">
        <v>2</v>
      </c>
      <c r="F5" s="23" t="s">
        <v>799</v>
      </c>
    </row>
    <row r="6" customFormat="false" ht="23.85" hidden="false" customHeight="false" outlineLevel="0" collapsed="false">
      <c r="A6" s="19" t="s">
        <v>809</v>
      </c>
      <c r="B6" s="16" t="s">
        <v>810</v>
      </c>
      <c r="C6" s="16" t="s">
        <v>415</v>
      </c>
      <c r="D6" s="16" t="s">
        <v>811</v>
      </c>
      <c r="E6" s="15" t="n">
        <v>2</v>
      </c>
      <c r="F6" s="23" t="s">
        <v>799</v>
      </c>
    </row>
    <row r="7" customFormat="false" ht="15" hidden="false" customHeight="false" outlineLevel="0" collapsed="false">
      <c r="A7" s="19" t="s">
        <v>812</v>
      </c>
      <c r="B7" s="16" t="s">
        <v>813</v>
      </c>
      <c r="C7" s="16" t="s">
        <v>396</v>
      </c>
      <c r="D7" s="16" t="s">
        <v>814</v>
      </c>
      <c r="E7" s="15" t="n">
        <v>5</v>
      </c>
      <c r="F7" s="23" t="s">
        <v>799</v>
      </c>
    </row>
    <row r="8" customFormat="false" ht="15" hidden="false" customHeight="false" outlineLevel="0" collapsed="false">
      <c r="A8" s="19" t="s">
        <v>815</v>
      </c>
      <c r="B8" s="16" t="s">
        <v>816</v>
      </c>
      <c r="C8" s="16" t="s">
        <v>414</v>
      </c>
      <c r="D8" s="16" t="s">
        <v>817</v>
      </c>
      <c r="E8" s="15" t="n">
        <v>7</v>
      </c>
      <c r="F8" s="23" t="s">
        <v>799</v>
      </c>
    </row>
  </sheetData>
  <dataValidations count="1">
    <dataValidation allowBlank="true" errorStyle="stop" operator="between" showDropDown="false" showErrorMessage="false" showInputMessage="false" sqref="F2:F30" type="list">
      <formula1>"Open,Mitigating,Closed"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18"/>
    <col collapsed="false" customWidth="true" hidden="false" outlineLevel="0" max="6" min="6" style="0" width="10"/>
    <col collapsed="false" customWidth="true" hidden="false" outlineLevel="0" max="7" min="7" style="0" width="18"/>
    <col collapsed="false" customWidth="true" hidden="false" outlineLevel="0" max="8" min="8" style="0" width="10"/>
  </cols>
  <sheetData>
    <row r="1" customFormat="false" ht="30" hidden="false" customHeight="true" outlineLevel="0" collapsed="false">
      <c r="A1" s="6" t="s">
        <v>14</v>
      </c>
      <c r="B1" s="6" t="s">
        <v>86</v>
      </c>
      <c r="C1" s="6" t="s">
        <v>818</v>
      </c>
      <c r="D1" s="6" t="s">
        <v>819</v>
      </c>
      <c r="E1" s="6" t="s">
        <v>820</v>
      </c>
      <c r="F1" s="6" t="s">
        <v>821</v>
      </c>
      <c r="G1" s="6" t="s">
        <v>822</v>
      </c>
      <c r="H1" s="6" t="s">
        <v>823</v>
      </c>
    </row>
    <row r="2" customFormat="false" ht="15" hidden="false" customHeight="false" outlineLevel="0" collapsed="false">
      <c r="A2" s="9" t="s">
        <v>20</v>
      </c>
      <c r="B2" s="7" t="s">
        <v>21</v>
      </c>
      <c r="C2" s="7" t="n">
        <f aca="false">COUNTIF('Phân công chi tiết'!$G:$G,A2)</f>
        <v>7</v>
      </c>
      <c r="D2" s="7" t="n">
        <f aca="false">COUNTIFS('Phân công chi tiết'!$G:$G,A2,'Phân công chi tiết'!$O:$O,"Done")</f>
        <v>0</v>
      </c>
      <c r="E2" s="7" t="n">
        <f aca="false">COUNTIFS('Phân công chi tiết'!$G:$G,A2,'Phân công chi tiết'!$O:$O,"In progress")+COUNTIFS('Phân công chi tiết'!$G:$G,A2,'Phân công chi tiết'!$O:$O,"Review")</f>
        <v>0</v>
      </c>
      <c r="F2" s="7" t="n">
        <f aca="false">COUNTIFS('Phân công chi tiết'!$G:$G,A2,'Phân công chi tiết'!$O:$O,"Blocked")</f>
        <v>0</v>
      </c>
      <c r="G2" s="7" t="n">
        <f aca="false">COUNTIFS('Phân công chi tiết'!$G:$G,A2,'Phân công chi tiết'!$O:$O,"Done",'Phân công chi tiết'!$P:$P,"")</f>
        <v>0</v>
      </c>
      <c r="H2" s="33" t="n">
        <f aca="false">IF(C2=0,0,D2/C2)</f>
        <v>0</v>
      </c>
    </row>
    <row r="3" customFormat="false" ht="15" hidden="false" customHeight="false" outlineLevel="0" collapsed="false">
      <c r="A3" s="9" t="s">
        <v>25</v>
      </c>
      <c r="B3" s="7" t="s">
        <v>21</v>
      </c>
      <c r="C3" s="7" t="n">
        <f aca="false">COUNTIF('Phân công chi tiết'!$G:$G,A3)</f>
        <v>7</v>
      </c>
      <c r="D3" s="7" t="n">
        <f aca="false">COUNTIFS('Phân công chi tiết'!$G:$G,A3,'Phân công chi tiết'!$O:$O,"Done")</f>
        <v>0</v>
      </c>
      <c r="E3" s="7" t="n">
        <f aca="false">COUNTIFS('Phân công chi tiết'!$G:$G,A3,'Phân công chi tiết'!$O:$O,"In progress")+COUNTIFS('Phân công chi tiết'!$G:$G,A3,'Phân công chi tiết'!$O:$O,"Review")</f>
        <v>0</v>
      </c>
      <c r="F3" s="7" t="n">
        <f aca="false">COUNTIFS('Phân công chi tiết'!$G:$G,A3,'Phân công chi tiết'!$O:$O,"Blocked")</f>
        <v>0</v>
      </c>
      <c r="G3" s="7" t="n">
        <f aca="false">COUNTIFS('Phân công chi tiết'!$G:$G,A3,'Phân công chi tiết'!$O:$O,"Done",'Phân công chi tiết'!$P:$P,"")</f>
        <v>0</v>
      </c>
      <c r="H3" s="33" t="n">
        <f aca="false">IF(C3=0,0,D3/C3)</f>
        <v>0</v>
      </c>
    </row>
    <row r="4" customFormat="false" ht="15" hidden="false" customHeight="false" outlineLevel="0" collapsed="false">
      <c r="A4" s="9" t="s">
        <v>29</v>
      </c>
      <c r="B4" s="7" t="s">
        <v>21</v>
      </c>
      <c r="C4" s="7" t="n">
        <f aca="false">COUNTIF('Phân công chi tiết'!$G:$G,A4)</f>
        <v>7</v>
      </c>
      <c r="D4" s="7" t="n">
        <f aca="false">COUNTIFS('Phân công chi tiết'!$G:$G,A4,'Phân công chi tiết'!$O:$O,"Done")</f>
        <v>0</v>
      </c>
      <c r="E4" s="7" t="n">
        <f aca="false">COUNTIFS('Phân công chi tiết'!$G:$G,A4,'Phân công chi tiết'!$O:$O,"In progress")+COUNTIFS('Phân công chi tiết'!$G:$G,A4,'Phân công chi tiết'!$O:$O,"Review")</f>
        <v>0</v>
      </c>
      <c r="F4" s="7" t="n">
        <f aca="false">COUNTIFS('Phân công chi tiết'!$G:$G,A4,'Phân công chi tiết'!$O:$O,"Blocked")</f>
        <v>0</v>
      </c>
      <c r="G4" s="7" t="n">
        <f aca="false">COUNTIFS('Phân công chi tiết'!$G:$G,A4,'Phân công chi tiết'!$O:$O,"Done",'Phân công chi tiết'!$P:$P,"")</f>
        <v>0</v>
      </c>
      <c r="H4" s="33" t="n">
        <f aca="false">IF(C4=0,0,D4/C4)</f>
        <v>0</v>
      </c>
    </row>
    <row r="5" customFormat="false" ht="15" hidden="false" customHeight="false" outlineLevel="0" collapsed="false">
      <c r="A5" s="9" t="s">
        <v>33</v>
      </c>
      <c r="B5" s="7" t="s">
        <v>21</v>
      </c>
      <c r="C5" s="7" t="n">
        <f aca="false">COUNTIF('Phân công chi tiết'!$G:$G,A5)</f>
        <v>7</v>
      </c>
      <c r="D5" s="7" t="n">
        <f aca="false">COUNTIFS('Phân công chi tiết'!$G:$G,A5,'Phân công chi tiết'!$O:$O,"Done")</f>
        <v>0</v>
      </c>
      <c r="E5" s="7" t="n">
        <f aca="false">COUNTIFS('Phân công chi tiết'!$G:$G,A5,'Phân công chi tiết'!$O:$O,"In progress")+COUNTIFS('Phân công chi tiết'!$G:$G,A5,'Phân công chi tiết'!$O:$O,"Review")</f>
        <v>0</v>
      </c>
      <c r="F5" s="7" t="n">
        <f aca="false">COUNTIFS('Phân công chi tiết'!$G:$G,A5,'Phân công chi tiết'!$O:$O,"Blocked")</f>
        <v>0</v>
      </c>
      <c r="G5" s="7" t="n">
        <f aca="false">COUNTIFS('Phân công chi tiết'!$G:$G,A5,'Phân công chi tiết'!$O:$O,"Done",'Phân công chi tiết'!$P:$P,"")</f>
        <v>0</v>
      </c>
      <c r="H5" s="33" t="n">
        <f aca="false">IF(C5=0,0,D5/C5)</f>
        <v>0</v>
      </c>
    </row>
    <row r="6" customFormat="false" ht="15" hidden="false" customHeight="false" outlineLevel="0" collapsed="false">
      <c r="A6" s="12" t="s">
        <v>37</v>
      </c>
      <c r="B6" s="10" t="s">
        <v>38</v>
      </c>
      <c r="C6" s="10" t="n">
        <f aca="false">COUNTIF('Phân công chi tiết'!$G:$G,A6)</f>
        <v>7</v>
      </c>
      <c r="D6" s="10" t="n">
        <f aca="false">COUNTIFS('Phân công chi tiết'!$G:$G,A6,'Phân công chi tiết'!$O:$O,"Done")</f>
        <v>0</v>
      </c>
      <c r="E6" s="10" t="n">
        <f aca="false">COUNTIFS('Phân công chi tiết'!$G:$G,A6,'Phân công chi tiết'!$O:$O,"In progress")+COUNTIFS('Phân công chi tiết'!$G:$G,A6,'Phân công chi tiết'!$O:$O,"Review")</f>
        <v>0</v>
      </c>
      <c r="F6" s="10" t="n">
        <f aca="false">COUNTIFS('Phân công chi tiết'!$G:$G,A6,'Phân công chi tiết'!$O:$O,"Blocked")</f>
        <v>0</v>
      </c>
      <c r="G6" s="10" t="n">
        <f aca="false">COUNTIFS('Phân công chi tiết'!$G:$G,A6,'Phân công chi tiết'!$O:$O,"Done",'Phân công chi tiết'!$P:$P,"")</f>
        <v>0</v>
      </c>
      <c r="H6" s="34" t="n">
        <f aca="false">IF(C6=0,0,D6/C6)</f>
        <v>0</v>
      </c>
    </row>
    <row r="7" customFormat="false" ht="15" hidden="false" customHeight="false" outlineLevel="0" collapsed="false">
      <c r="A7" s="12" t="s">
        <v>42</v>
      </c>
      <c r="B7" s="10" t="s">
        <v>38</v>
      </c>
      <c r="C7" s="10" t="n">
        <f aca="false">COUNTIF('Phân công chi tiết'!$G:$G,A7)</f>
        <v>7</v>
      </c>
      <c r="D7" s="10" t="n">
        <f aca="false">COUNTIFS('Phân công chi tiết'!$G:$G,A7,'Phân công chi tiết'!$O:$O,"Done")</f>
        <v>0</v>
      </c>
      <c r="E7" s="10" t="n">
        <f aca="false">COUNTIFS('Phân công chi tiết'!$G:$G,A7,'Phân công chi tiết'!$O:$O,"In progress")+COUNTIFS('Phân công chi tiết'!$G:$G,A7,'Phân công chi tiết'!$O:$O,"Review")</f>
        <v>0</v>
      </c>
      <c r="F7" s="10" t="n">
        <f aca="false">COUNTIFS('Phân công chi tiết'!$G:$G,A7,'Phân công chi tiết'!$O:$O,"Blocked")</f>
        <v>0</v>
      </c>
      <c r="G7" s="10" t="n">
        <f aca="false">COUNTIFS('Phân công chi tiết'!$G:$G,A7,'Phân công chi tiết'!$O:$O,"Done",'Phân công chi tiết'!$P:$P,"")</f>
        <v>0</v>
      </c>
      <c r="H7" s="34" t="n">
        <f aca="false">IF(C7=0,0,D7/C7)</f>
        <v>0</v>
      </c>
    </row>
    <row r="8" customFormat="false" ht="15" hidden="false" customHeight="false" outlineLevel="0" collapsed="false">
      <c r="A8" s="12" t="s">
        <v>47</v>
      </c>
      <c r="B8" s="10" t="s">
        <v>38</v>
      </c>
      <c r="C8" s="10" t="n">
        <f aca="false">COUNTIF('Phân công chi tiết'!$G:$G,A8)</f>
        <v>7</v>
      </c>
      <c r="D8" s="10" t="n">
        <f aca="false">COUNTIFS('Phân công chi tiết'!$G:$G,A8,'Phân công chi tiết'!$O:$O,"Done")</f>
        <v>0</v>
      </c>
      <c r="E8" s="10" t="n">
        <f aca="false">COUNTIFS('Phân công chi tiết'!$G:$G,A8,'Phân công chi tiết'!$O:$O,"In progress")+COUNTIFS('Phân công chi tiết'!$G:$G,A8,'Phân công chi tiết'!$O:$O,"Review")</f>
        <v>0</v>
      </c>
      <c r="F8" s="10" t="n">
        <f aca="false">COUNTIFS('Phân công chi tiết'!$G:$G,A8,'Phân công chi tiết'!$O:$O,"Blocked")</f>
        <v>0</v>
      </c>
      <c r="G8" s="10" t="n">
        <f aca="false">COUNTIFS('Phân công chi tiết'!$G:$G,A8,'Phân công chi tiết'!$O:$O,"Done",'Phân công chi tiết'!$P:$P,"")</f>
        <v>0</v>
      </c>
      <c r="H8" s="34" t="n">
        <f aca="false">IF(C8=0,0,D8/C8)</f>
        <v>0</v>
      </c>
    </row>
    <row r="9" customFormat="false" ht="15" hidden="false" customHeight="false" outlineLevel="0" collapsed="false">
      <c r="A9" s="35" t="s">
        <v>824</v>
      </c>
      <c r="B9" s="36"/>
      <c r="C9" s="36" t="n">
        <f aca="false">SUM(C2:C8)</f>
        <v>49</v>
      </c>
      <c r="D9" s="36" t="n">
        <f aca="false">SUM(D2:D8)</f>
        <v>0</v>
      </c>
      <c r="E9" s="36" t="n">
        <f aca="false">SUM(E2:E8)</f>
        <v>0</v>
      </c>
      <c r="F9" s="36" t="n">
        <f aca="false">SUM(F2:F8)</f>
        <v>0</v>
      </c>
      <c r="G9" s="36" t="n">
        <f aca="false">SUM(G2:G8)</f>
        <v>0</v>
      </c>
      <c r="H9" s="37" t="n">
        <f aca="false">IF(C9=0,0,D9/C9)</f>
        <v>0</v>
      </c>
    </row>
    <row r="12" customFormat="false" ht="23.85" hidden="false" customHeight="false" outlineLevel="0" collapsed="false">
      <c r="A12" s="6" t="s">
        <v>82</v>
      </c>
      <c r="B12" s="6" t="s">
        <v>83</v>
      </c>
      <c r="C12" s="6" t="s">
        <v>818</v>
      </c>
      <c r="D12" s="6" t="s">
        <v>819</v>
      </c>
      <c r="E12" s="6" t="s">
        <v>823</v>
      </c>
      <c r="F12" s="6" t="s">
        <v>825</v>
      </c>
    </row>
    <row r="13" customFormat="false" ht="23.85" hidden="false" customHeight="false" outlineLevel="0" collapsed="false">
      <c r="A13" s="15" t="n">
        <v>1</v>
      </c>
      <c r="B13" s="20" t="n">
        <f aca="false">'Tổng quan'!$C$5+(A13-1)*7</f>
        <v>46314</v>
      </c>
      <c r="C13" s="15" t="n">
        <f aca="false">COUNTIF('Phân công chi tiết'!$B:$B,A13)</f>
        <v>7</v>
      </c>
      <c r="D13" s="15" t="n">
        <f aca="false">COUNTIFS('Phân công chi tiết'!$B:$B,A13,'Phân công chi tiết'!$O:$O,"Done")</f>
        <v>0</v>
      </c>
      <c r="E13" s="38" t="n">
        <f aca="false">IF(C13=0,0,D13/C13)</f>
        <v>0</v>
      </c>
      <c r="F13" s="16" t="s">
        <v>220</v>
      </c>
    </row>
    <row r="14" customFormat="false" ht="35.05" hidden="false" customHeight="false" outlineLevel="0" collapsed="false">
      <c r="A14" s="15" t="n">
        <v>2</v>
      </c>
      <c r="B14" s="20" t="n">
        <f aca="false">'Tổng quan'!$C$5+(A14-1)*7</f>
        <v>46321</v>
      </c>
      <c r="C14" s="15" t="n">
        <f aca="false">COUNTIF('Phân công chi tiết'!$B:$B,A14)</f>
        <v>7</v>
      </c>
      <c r="D14" s="15" t="n">
        <f aca="false">COUNTIFS('Phân công chi tiết'!$B:$B,A14,'Phân công chi tiết'!$O:$O,"Done")</f>
        <v>0</v>
      </c>
      <c r="E14" s="38" t="n">
        <f aca="false">IF(C14=0,0,D14/C14)</f>
        <v>0</v>
      </c>
      <c r="F14" s="16" t="s">
        <v>826</v>
      </c>
    </row>
    <row r="15" customFormat="false" ht="23.85" hidden="false" customHeight="false" outlineLevel="0" collapsed="false">
      <c r="A15" s="15" t="n">
        <v>3</v>
      </c>
      <c r="B15" s="20" t="n">
        <f aca="false">'Tổng quan'!$C$5+(A15-1)*7</f>
        <v>46328</v>
      </c>
      <c r="C15" s="15" t="n">
        <f aca="false">COUNTIF('Phân công chi tiết'!$B:$B,A15)</f>
        <v>7</v>
      </c>
      <c r="D15" s="15" t="n">
        <f aca="false">COUNTIFS('Phân công chi tiết'!$B:$B,A15,'Phân công chi tiết'!$O:$O,"Done")</f>
        <v>0</v>
      </c>
      <c r="E15" s="38" t="n">
        <f aca="false">IF(C15=0,0,D15/C15)</f>
        <v>0</v>
      </c>
      <c r="F15" s="16" t="s">
        <v>827</v>
      </c>
    </row>
    <row r="16" customFormat="false" ht="23.85" hidden="false" customHeight="false" outlineLevel="0" collapsed="false">
      <c r="A16" s="15" t="n">
        <v>4</v>
      </c>
      <c r="B16" s="20" t="n">
        <f aca="false">'Tổng quan'!$C$5+(A16-1)*7</f>
        <v>46335</v>
      </c>
      <c r="C16" s="15" t="n">
        <f aca="false">COUNTIF('Phân công chi tiết'!$B:$B,A16)</f>
        <v>7</v>
      </c>
      <c r="D16" s="15" t="n">
        <f aca="false">COUNTIFS('Phân công chi tiết'!$B:$B,A16,'Phân công chi tiết'!$O:$O,"Done")</f>
        <v>0</v>
      </c>
      <c r="E16" s="38" t="n">
        <f aca="false">IF(C16=0,0,D16/C16)</f>
        <v>0</v>
      </c>
      <c r="F16" s="16" t="s">
        <v>828</v>
      </c>
    </row>
    <row r="17" customFormat="false" ht="23.85" hidden="false" customHeight="false" outlineLevel="0" collapsed="false">
      <c r="A17" s="15" t="n">
        <v>5</v>
      </c>
      <c r="B17" s="20" t="n">
        <f aca="false">'Tổng quan'!$C$5+(A17-1)*7</f>
        <v>46342</v>
      </c>
      <c r="C17" s="15" t="n">
        <f aca="false">COUNTIF('Phân công chi tiết'!$B:$B,A17)</f>
        <v>7</v>
      </c>
      <c r="D17" s="15" t="n">
        <f aca="false">COUNTIFS('Phân công chi tiết'!$B:$B,A17,'Phân công chi tiết'!$O:$O,"Done")</f>
        <v>0</v>
      </c>
      <c r="E17" s="38" t="n">
        <f aca="false">IF(C17=0,0,D17/C17)</f>
        <v>0</v>
      </c>
      <c r="F17" s="16" t="s">
        <v>829</v>
      </c>
    </row>
    <row r="18" customFormat="false" ht="46.25" hidden="false" customHeight="false" outlineLevel="0" collapsed="false">
      <c r="A18" s="15" t="n">
        <v>6</v>
      </c>
      <c r="B18" s="20" t="n">
        <f aca="false">'Tổng quan'!$C$5+(A18-1)*7</f>
        <v>46349</v>
      </c>
      <c r="C18" s="15" t="n">
        <f aca="false">COUNTIF('Phân công chi tiết'!$B:$B,A18)</f>
        <v>7</v>
      </c>
      <c r="D18" s="15" t="n">
        <f aca="false">COUNTIFS('Phân công chi tiết'!$B:$B,A18,'Phân công chi tiết'!$O:$O,"Done")</f>
        <v>0</v>
      </c>
      <c r="E18" s="38" t="n">
        <f aca="false">IF(C18=0,0,D18/C18)</f>
        <v>0</v>
      </c>
      <c r="F18" s="16" t="s">
        <v>830</v>
      </c>
    </row>
    <row r="19" customFormat="false" ht="23.85" hidden="false" customHeight="false" outlineLevel="0" collapsed="false">
      <c r="A19" s="15" t="n">
        <v>7</v>
      </c>
      <c r="B19" s="20" t="n">
        <f aca="false">'Tổng quan'!$C$5+(A19-1)*7</f>
        <v>46356</v>
      </c>
      <c r="C19" s="15" t="n">
        <f aca="false">COUNTIF('Phân công chi tiết'!$B:$B,A19)</f>
        <v>7</v>
      </c>
      <c r="D19" s="15" t="n">
        <f aca="false">COUNTIFS('Phân công chi tiết'!$B:$B,A19,'Phân công chi tiết'!$O:$O,"Done")</f>
        <v>0</v>
      </c>
      <c r="E19" s="38" t="n">
        <f aca="false">IF(C19=0,0,D19/C19)</f>
        <v>0</v>
      </c>
      <c r="F19" s="16" t="s">
        <v>831</v>
      </c>
    </row>
    <row r="21" customFormat="false" ht="15" hidden="false" customHeight="false" outlineLevel="0" collapsed="false">
      <c r="A21" s="25" t="s">
        <v>832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2026-10-20T10:21:47Z</dcterms:created>
  <dc:creator>openpyxl</dc:creator>
  <dc:description/>
  <dc:language>en-US</dc:language>
  <cp:lastModifiedBy/>
  <dcterms:modified xsi:type="dcterms:W3CDTF">2026-10-20T10:21:47Z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